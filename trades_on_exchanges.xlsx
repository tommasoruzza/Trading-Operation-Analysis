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omma\Desktop\"/>
    </mc:Choice>
  </mc:AlternateContent>
  <xr:revisionPtr revIDLastSave="0" documentId="13_ncr:1_{2E121A22-7488-4C04-8150-B74F5FF3BEBE}" xr6:coauthVersionLast="47" xr6:coauthVersionMax="47" xr10:uidLastSave="{00000000-0000-0000-0000-000000000000}"/>
  <bookViews>
    <workbookView xWindow="-108" yWindow="-108" windowWidth="23256" windowHeight="12456" tabRatio="956" xr2:uid="{00000000-000D-0000-FFFF-FFFF00000000}"/>
  </bookViews>
  <sheets>
    <sheet name="Database iniziale" sheetId="1" r:id="rId1"/>
    <sheet name="My trades" sheetId="2" r:id="rId2"/>
    <sheet name="Stock exchanges" sheetId="4" r:id="rId3"/>
    <sheet name="Profit insights" sheetId="5" r:id="rId4"/>
    <sheet name="Number of trades exchanged" sheetId="7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 a="1"/>
  <c r="B3" i="7" l="1"/>
  <c r="L6" i="7"/>
  <c r="L14" i="7"/>
  <c r="K5" i="7"/>
  <c r="K13" i="7"/>
  <c r="J4" i="7"/>
  <c r="J12" i="7"/>
  <c r="I11" i="7"/>
  <c r="I19" i="7"/>
  <c r="H10" i="7"/>
  <c r="H18" i="7"/>
  <c r="G9" i="7"/>
  <c r="G17" i="7"/>
  <c r="F8" i="7"/>
  <c r="F16" i="7"/>
  <c r="E7" i="7"/>
  <c r="E15" i="7"/>
  <c r="D6" i="7"/>
  <c r="D14" i="7"/>
  <c r="C5" i="7"/>
  <c r="C13" i="7"/>
  <c r="D16" i="7"/>
  <c r="G15" i="7"/>
  <c r="C19" i="7"/>
  <c r="M19" i="7" s="1"/>
  <c r="K4" i="7"/>
  <c r="F15" i="7"/>
  <c r="L7" i="7"/>
  <c r="L15" i="7"/>
  <c r="K6" i="7"/>
  <c r="K14" i="7"/>
  <c r="J5" i="7"/>
  <c r="J13" i="7"/>
  <c r="I4" i="7"/>
  <c r="I12" i="7"/>
  <c r="H11" i="7"/>
  <c r="H19" i="7"/>
  <c r="G10" i="7"/>
  <c r="G18" i="7"/>
  <c r="F9" i="7"/>
  <c r="F17" i="7"/>
  <c r="E8" i="7"/>
  <c r="E16" i="7"/>
  <c r="D7" i="7"/>
  <c r="D15" i="7"/>
  <c r="C6" i="7"/>
  <c r="C14" i="7"/>
  <c r="C15" i="7"/>
  <c r="F14" i="7"/>
  <c r="C11" i="7"/>
  <c r="L13" i="7"/>
  <c r="H17" i="7"/>
  <c r="L8" i="7"/>
  <c r="L16" i="7"/>
  <c r="K7" i="7"/>
  <c r="K15" i="7"/>
  <c r="J6" i="7"/>
  <c r="J14" i="7"/>
  <c r="I5" i="7"/>
  <c r="I13" i="7"/>
  <c r="H4" i="7"/>
  <c r="H12" i="7"/>
  <c r="G11" i="7"/>
  <c r="G19" i="7"/>
  <c r="F10" i="7"/>
  <c r="F18" i="7"/>
  <c r="E9" i="7"/>
  <c r="E17" i="7"/>
  <c r="D8" i="7"/>
  <c r="C7" i="7"/>
  <c r="G7" i="7"/>
  <c r="K12" i="7"/>
  <c r="G16" i="7"/>
  <c r="C4" i="7"/>
  <c r="L9" i="7"/>
  <c r="L17" i="7"/>
  <c r="K8" i="7"/>
  <c r="K16" i="7"/>
  <c r="J7" i="7"/>
  <c r="J15" i="7"/>
  <c r="I6" i="7"/>
  <c r="I14" i="7"/>
  <c r="H5" i="7"/>
  <c r="H13" i="7"/>
  <c r="G4" i="7"/>
  <c r="G12" i="7"/>
  <c r="F11" i="7"/>
  <c r="F19" i="7"/>
  <c r="E10" i="7"/>
  <c r="E18" i="7"/>
  <c r="D9" i="7"/>
  <c r="D17" i="7"/>
  <c r="C8" i="7"/>
  <c r="C16" i="7"/>
  <c r="H16" i="7"/>
  <c r="D4" i="7"/>
  <c r="H9" i="7"/>
  <c r="D13" i="7"/>
  <c r="L10" i="7"/>
  <c r="L18" i="7"/>
  <c r="K9" i="7"/>
  <c r="K17" i="7"/>
  <c r="J8" i="7"/>
  <c r="J16" i="7"/>
  <c r="I7" i="7"/>
  <c r="I15" i="7"/>
  <c r="H6" i="7"/>
  <c r="H14" i="7"/>
  <c r="G5" i="7"/>
  <c r="G13" i="7"/>
  <c r="F4" i="7"/>
  <c r="F12" i="7"/>
  <c r="E11" i="7"/>
  <c r="E19" i="7"/>
  <c r="D10" i="7"/>
  <c r="D18" i="7"/>
  <c r="C9" i="7"/>
  <c r="C17" i="7"/>
  <c r="I9" i="7"/>
  <c r="F6" i="7"/>
  <c r="D12" i="7"/>
  <c r="J11" i="7"/>
  <c r="I10" i="7"/>
  <c r="G8" i="7"/>
  <c r="E14" i="7"/>
  <c r="L11" i="7"/>
  <c r="L19" i="7"/>
  <c r="K10" i="7"/>
  <c r="K18" i="7"/>
  <c r="J9" i="7"/>
  <c r="J17" i="7"/>
  <c r="I8" i="7"/>
  <c r="I16" i="7"/>
  <c r="H7" i="7"/>
  <c r="H15" i="7"/>
  <c r="G6" i="7"/>
  <c r="G14" i="7"/>
  <c r="F5" i="7"/>
  <c r="F13" i="7"/>
  <c r="E4" i="7"/>
  <c r="E12" i="7"/>
  <c r="D11" i="7"/>
  <c r="D19" i="7"/>
  <c r="C10" i="7"/>
  <c r="C18" i="7"/>
  <c r="J10" i="7"/>
  <c r="E5" i="7"/>
  <c r="L5" i="7"/>
  <c r="I18" i="7"/>
  <c r="F7" i="7"/>
  <c r="D5" i="7"/>
  <c r="L4" i="7"/>
  <c r="L12" i="7"/>
  <c r="K11" i="7"/>
  <c r="K19" i="7"/>
  <c r="J18" i="7"/>
  <c r="I17" i="7"/>
  <c r="H8" i="7"/>
  <c r="E13" i="7"/>
  <c r="J19" i="7"/>
  <c r="E6" i="7"/>
  <c r="C12" i="7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I2" i="5" a="1"/>
  <c r="I2" i="5" s="1"/>
  <c r="H11" i="5"/>
  <c r="H3" i="5"/>
  <c r="H4" i="5" s="1"/>
  <c r="H5" i="5" s="1"/>
  <c r="H6" i="5" s="1"/>
  <c r="H7" i="5" s="1"/>
  <c r="H8" i="5" s="1"/>
  <c r="H9" i="5" s="1"/>
  <c r="H10" i="5" s="1"/>
  <c r="H2" i="5"/>
  <c r="F3" i="5"/>
  <c r="F2" i="5"/>
  <c r="M10" i="7" l="1"/>
  <c r="M15" i="7"/>
  <c r="M18" i="7"/>
  <c r="M14" i="7"/>
  <c r="M17" i="7"/>
  <c r="M16" i="7"/>
  <c r="M7" i="7"/>
  <c r="M6" i="7"/>
  <c r="M13" i="7"/>
  <c r="M9" i="7"/>
  <c r="M8" i="7"/>
  <c r="M5" i="7"/>
  <c r="M12" i="7"/>
  <c r="M4" i="7"/>
  <c r="M11" i="7"/>
  <c r="J3" i="7"/>
  <c r="J20" i="7" s="1"/>
  <c r="I3" i="7"/>
  <c r="I20" i="7" s="1"/>
  <c r="H3" i="7"/>
  <c r="H20" i="7" s="1"/>
  <c r="D3" i="7"/>
  <c r="D20" i="7" s="1"/>
  <c r="G3" i="7"/>
  <c r="G20" i="7" s="1"/>
  <c r="F3" i="7"/>
  <c r="F20" i="7" s="1"/>
  <c r="E3" i="7"/>
  <c r="E20" i="7" s="1"/>
  <c r="K3" i="7"/>
  <c r="K20" i="7" s="1"/>
  <c r="C3" i="7"/>
  <c r="L3" i="7"/>
  <c r="L20" i="7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" i="5"/>
  <c r="C3" i="5"/>
  <c r="C4" i="5"/>
  <c r="C5" i="5"/>
  <c r="C6" i="5"/>
  <c r="C7" i="5"/>
  <c r="C8" i="5"/>
  <c r="R11" i="7" l="1"/>
  <c r="M3" i="7"/>
  <c r="M20" i="7" s="1"/>
  <c r="R9" i="7" s="1"/>
  <c r="C20" i="7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" i="5"/>
  <c r="D32" i="4"/>
  <c r="D34" i="4"/>
  <c r="D36" i="4"/>
  <c r="D39" i="4"/>
  <c r="D3" i="4"/>
  <c r="D5" i="4"/>
  <c r="D7" i="4"/>
  <c r="D10" i="4"/>
  <c r="D13" i="4"/>
  <c r="D15" i="4"/>
  <c r="D17" i="4"/>
  <c r="D20" i="4"/>
  <c r="D22" i="4"/>
  <c r="D24" i="4"/>
  <c r="D26" i="4"/>
  <c r="D28" i="4"/>
  <c r="D3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<sst xmlns="http://schemas.openxmlformats.org/spreadsheetml/2006/main" count="1306" uniqueCount="293">
  <si>
    <t>Trade</t>
  </si>
  <si>
    <t>Stock exchange</t>
  </si>
  <si>
    <t>Region</t>
  </si>
  <si>
    <t>Date added</t>
  </si>
  <si>
    <t>Quantity</t>
  </si>
  <si>
    <t>Buy Price</t>
  </si>
  <si>
    <t>Date sold</t>
  </si>
  <si>
    <t>Sell Price</t>
  </si>
  <si>
    <t>agfgcfxt</t>
  </si>
  <si>
    <t>Bombay Stock Exchange</t>
  </si>
  <si>
    <t>India</t>
  </si>
  <si>
    <t>aieoltom</t>
  </si>
  <si>
    <t>Tehran Stock Exchange</t>
  </si>
  <si>
    <t>Iran</t>
  </si>
  <si>
    <t>almuieaq</t>
  </si>
  <si>
    <t>National Stock Exchange</t>
  </si>
  <si>
    <t>apxkynfx</t>
  </si>
  <si>
    <t>SIX Swiss Exchange</t>
  </si>
  <si>
    <t>Switzerland</t>
  </si>
  <si>
    <t>bbjeprsq</t>
  </si>
  <si>
    <t>bcizkhng</t>
  </si>
  <si>
    <t>Euronext</t>
  </si>
  <si>
    <t>Europe</t>
  </si>
  <si>
    <t>bdkloegq</t>
  </si>
  <si>
    <t>Korea Exchange</t>
  </si>
  <si>
    <t>South Korea</t>
  </si>
  <si>
    <t>beszhcyh</t>
  </si>
  <si>
    <t>Johannesburg Stock Exchange</t>
  </si>
  <si>
    <t>South Africa</t>
  </si>
  <si>
    <t>bjfxoyxb</t>
  </si>
  <si>
    <t>Toronto Stock Exchange</t>
  </si>
  <si>
    <t>Canada</t>
  </si>
  <si>
    <t>bpjmrhjo</t>
  </si>
  <si>
    <t>brxwzrct</t>
  </si>
  <si>
    <t>Deutsche Börse AG</t>
  </si>
  <si>
    <t>Germany</t>
  </si>
  <si>
    <t>bumcnvke</t>
  </si>
  <si>
    <t>cesjzpbs</t>
  </si>
  <si>
    <t>cetffxgx</t>
  </si>
  <si>
    <t>Saudi Stock Exchange (Tadawul)</t>
  </si>
  <si>
    <t>Saudi Arabia</t>
  </si>
  <si>
    <t>chhqshvn</t>
  </si>
  <si>
    <t>ciykrilb</t>
  </si>
  <si>
    <t>Japan Exchange Group</t>
  </si>
  <si>
    <t>Japan</t>
  </si>
  <si>
    <t>cnitsbpk</t>
  </si>
  <si>
    <t>Hong Kong Stock Exchange</t>
  </si>
  <si>
    <t>Hong Kong</t>
  </si>
  <si>
    <t>cntrbotn</t>
  </si>
  <si>
    <t>Shanghai Stock Exchange</t>
  </si>
  <si>
    <t>China</t>
  </si>
  <si>
    <t>cwuqczya</t>
  </si>
  <si>
    <t>cymioqte</t>
  </si>
  <si>
    <t>dcnexoao</t>
  </si>
  <si>
    <t>London Stock Exchange</t>
  </si>
  <si>
    <t>United Kingdom</t>
  </si>
  <si>
    <t>dcplrgaa</t>
  </si>
  <si>
    <t>dieionnl</t>
  </si>
  <si>
    <t>B3 Brasil Bolsa Balcão</t>
  </si>
  <si>
    <t>Brazil</t>
  </si>
  <si>
    <t>dlgsjszn</t>
  </si>
  <si>
    <t>Nasdaq</t>
  </si>
  <si>
    <t>United States</t>
  </si>
  <si>
    <t>dpaxyvrx</t>
  </si>
  <si>
    <t>dspetbsq</t>
  </si>
  <si>
    <t>ebkkmqbi</t>
  </si>
  <si>
    <t>egvfikiy</t>
  </si>
  <si>
    <t>eknpqcge</t>
  </si>
  <si>
    <t>ekteqlhb</t>
  </si>
  <si>
    <t>emjmheht</t>
  </si>
  <si>
    <t>eodhevfz</t>
  </si>
  <si>
    <t>Shenzhen Stock Exchange</t>
  </si>
  <si>
    <t>ewzlrcco</t>
  </si>
  <si>
    <t>Taiwan Stock Exchange</t>
  </si>
  <si>
    <t>Taiwan</t>
  </si>
  <si>
    <t>fenldjbq</t>
  </si>
  <si>
    <t>fipcayvv</t>
  </si>
  <si>
    <t>fjcdzhde</t>
  </si>
  <si>
    <t>fjhbimle</t>
  </si>
  <si>
    <t>fkgjitio</t>
  </si>
  <si>
    <t>frlnnmpc</t>
  </si>
  <si>
    <t>New York Stock Exchange</t>
  </si>
  <si>
    <t>fucpzbpk</t>
  </si>
  <si>
    <t>fzpkolfu</t>
  </si>
  <si>
    <t>gcndrwci</t>
  </si>
  <si>
    <t>gfiuzniq</t>
  </si>
  <si>
    <t>giuqiukz</t>
  </si>
  <si>
    <t>gnghjpok</t>
  </si>
  <si>
    <t>goxmkirb</t>
  </si>
  <si>
    <t>gsarsxnf</t>
  </si>
  <si>
    <t>hafqyymf</t>
  </si>
  <si>
    <t>hdpggnqd</t>
  </si>
  <si>
    <t>hdslpwul</t>
  </si>
  <si>
    <t>heuzjzpi</t>
  </si>
  <si>
    <t>hfdavabb</t>
  </si>
  <si>
    <t>hfjghpbq</t>
  </si>
  <si>
    <t>hflsqchs</t>
  </si>
  <si>
    <t>hfwtmipz</t>
  </si>
  <si>
    <t>hkesgmfj</t>
  </si>
  <si>
    <t>hmtiybmi</t>
  </si>
  <si>
    <t>hnmvqkxv</t>
  </si>
  <si>
    <t>hpvfzslv</t>
  </si>
  <si>
    <t>hrfilyua</t>
  </si>
  <si>
    <t>Australian Securities Exchange</t>
  </si>
  <si>
    <t>Australia</t>
  </si>
  <si>
    <t>hutszssu</t>
  </si>
  <si>
    <t>iagrfath</t>
  </si>
  <si>
    <t>icbmbfqb</t>
  </si>
  <si>
    <t>icgddrqk</t>
  </si>
  <si>
    <t>ifomvwpk</t>
  </si>
  <si>
    <t>ifskxsgr</t>
  </si>
  <si>
    <t>ivnpgban</t>
  </si>
  <si>
    <t>iztdnkqz</t>
  </si>
  <si>
    <t>jarhgmub</t>
  </si>
  <si>
    <t>jgrpnvil</t>
  </si>
  <si>
    <t>jhrvrggo</t>
  </si>
  <si>
    <t>jszxcuxx</t>
  </si>
  <si>
    <t>jvcllvko</t>
  </si>
  <si>
    <t>jxgqnvpx</t>
  </si>
  <si>
    <t>jyrrbwon</t>
  </si>
  <si>
    <t>kcqqvvon</t>
  </si>
  <si>
    <t>kdxpqsjj</t>
  </si>
  <si>
    <t>kltxxoqv</t>
  </si>
  <si>
    <t>kmlcsefq</t>
  </si>
  <si>
    <t>knifvikn</t>
  </si>
  <si>
    <t>knrhgdai</t>
  </si>
  <si>
    <t>koqfbdwf</t>
  </si>
  <si>
    <t>kpoujdyl</t>
  </si>
  <si>
    <t>kqbdcljv</t>
  </si>
  <si>
    <t>Nasdaq Nordic and Baltic Exchanges</t>
  </si>
  <si>
    <t>krqkwnaw</t>
  </si>
  <si>
    <t>kwbxqlin</t>
  </si>
  <si>
    <t>kweyaukr</t>
  </si>
  <si>
    <t>ldjllwvy</t>
  </si>
  <si>
    <t>lenpuaop</t>
  </si>
  <si>
    <t>lkxgzzvq</t>
  </si>
  <si>
    <t>loffykcg</t>
  </si>
  <si>
    <t>lpzjhtkm</t>
  </si>
  <si>
    <t>maizvkuo</t>
  </si>
  <si>
    <t>mfdlyjqb</t>
  </si>
  <si>
    <t>mfwvjgje</t>
  </si>
  <si>
    <t>mghfyjbr</t>
  </si>
  <si>
    <t>mjbwcafl</t>
  </si>
  <si>
    <t>mjyuxzvj</t>
  </si>
  <si>
    <t>mkxkerbr</t>
  </si>
  <si>
    <t>mxmztjnk</t>
  </si>
  <si>
    <t>mxpzparg</t>
  </si>
  <si>
    <t>nheepbxg</t>
  </si>
  <si>
    <t>njxhycea</t>
  </si>
  <si>
    <t>nklszbdc</t>
  </si>
  <si>
    <t>nqgoiuik</t>
  </si>
  <si>
    <t>nriklgrf</t>
  </si>
  <si>
    <t>nuleyiit</t>
  </si>
  <si>
    <t>nzyednpn</t>
  </si>
  <si>
    <t>ogszgnpm</t>
  </si>
  <si>
    <t>ohtzxhrm</t>
  </si>
  <si>
    <t>olnjegug</t>
  </si>
  <si>
    <t>oplgqwal</t>
  </si>
  <si>
    <t>orgnwenh</t>
  </si>
  <si>
    <t>ossshndu</t>
  </si>
  <si>
    <t>pberstsl</t>
  </si>
  <si>
    <t>pcifviip</t>
  </si>
  <si>
    <t>pnsxdhqo</t>
  </si>
  <si>
    <t>poohpdwc</t>
  </si>
  <si>
    <t>pswtoazn</t>
  </si>
  <si>
    <t>pxkjcmpp</t>
  </si>
  <si>
    <t>pxzcvvvv</t>
  </si>
  <si>
    <t>pyljmfku</t>
  </si>
  <si>
    <t>pysaclod</t>
  </si>
  <si>
    <t>pywztrno</t>
  </si>
  <si>
    <t>qdqbwhng</t>
  </si>
  <si>
    <t>qexyofhb</t>
  </si>
  <si>
    <t>qhprzdnb</t>
  </si>
  <si>
    <t>qklyndfp</t>
  </si>
  <si>
    <t>qonnwndv</t>
  </si>
  <si>
    <t>rcmrnpig</t>
  </si>
  <si>
    <t>rfngluke</t>
  </si>
  <si>
    <t>rgbcrwet</t>
  </si>
  <si>
    <t>rkupdsbn</t>
  </si>
  <si>
    <t>rxbzlipl</t>
  </si>
  <si>
    <t>rypujago</t>
  </si>
  <si>
    <t>scoljxeg</t>
  </si>
  <si>
    <t>seaeoiib</t>
  </si>
  <si>
    <t>sejklwar</t>
  </si>
  <si>
    <t>seszlhqz</t>
  </si>
  <si>
    <t>sgdkuekd</t>
  </si>
  <si>
    <t>slqawwyu</t>
  </si>
  <si>
    <t>stsjuvrd</t>
  </si>
  <si>
    <t>tazccemg</t>
  </si>
  <si>
    <t>tgayvhvz</t>
  </si>
  <si>
    <t>tiebtpqq</t>
  </si>
  <si>
    <t>tjtyuhoi</t>
  </si>
  <si>
    <t>tsmbtvip</t>
  </si>
  <si>
    <t>tsrjnkjg</t>
  </si>
  <si>
    <t>ttxgpfqy</t>
  </si>
  <si>
    <t>tuneagik</t>
  </si>
  <si>
    <t>twxakkhn</t>
  </si>
  <si>
    <t>txuwmhfn</t>
  </si>
  <si>
    <t>tyoavqhc</t>
  </si>
  <si>
    <t>ucjtvrzo</t>
  </si>
  <si>
    <t>ueoaufxg</t>
  </si>
  <si>
    <t>ugegxjpi</t>
  </si>
  <si>
    <t>uijhzhtp</t>
  </si>
  <si>
    <t>uiytklhp</t>
  </si>
  <si>
    <t>umdvcmek</t>
  </si>
  <si>
    <t>unxxstxp</t>
  </si>
  <si>
    <t>upcbwvls</t>
  </si>
  <si>
    <t>uvenvheh</t>
  </si>
  <si>
    <t>vajwbmmv</t>
  </si>
  <si>
    <t>vggvbbxh</t>
  </si>
  <si>
    <t>vjtxbscg</t>
  </si>
  <si>
    <t>vnkvbrpg</t>
  </si>
  <si>
    <t>vqkagvwm</t>
  </si>
  <si>
    <t>waxzujox</t>
  </si>
  <si>
    <t>wfglkcmq</t>
  </si>
  <si>
    <t>wgpoqytj</t>
  </si>
  <si>
    <t>wgzgfkki</t>
  </si>
  <si>
    <t>wiujcxll</t>
  </si>
  <si>
    <t>wmesgogf</t>
  </si>
  <si>
    <t>wzerurjz</t>
  </si>
  <si>
    <t>xbcdvdtp</t>
  </si>
  <si>
    <t>xgimgqvp</t>
  </si>
  <si>
    <t>xgszegxx</t>
  </si>
  <si>
    <t>xgxazdwr</t>
  </si>
  <si>
    <t>xkdlzakx</t>
  </si>
  <si>
    <t>xmfevyrg</t>
  </si>
  <si>
    <t>xmzhzbvl</t>
  </si>
  <si>
    <t>xslzwome</t>
  </si>
  <si>
    <t>xydeqivj</t>
  </si>
  <si>
    <t>ybasexlh</t>
  </si>
  <si>
    <t>ydcmffnz</t>
  </si>
  <si>
    <t>yjrqvwdc</t>
  </si>
  <si>
    <t>ynqvlbrq</t>
  </si>
  <si>
    <t>ynrcizqr</t>
  </si>
  <si>
    <t>ypdwpcvo</t>
  </si>
  <si>
    <t>yrvvdedn</t>
  </si>
  <si>
    <t>ysndnwiy</t>
  </si>
  <si>
    <t>ywfotaaf</t>
  </si>
  <si>
    <t>yyclexzy</t>
  </si>
  <si>
    <t>zhhtkovi</t>
  </si>
  <si>
    <t>zkxftiop</t>
  </si>
  <si>
    <t>zlqfijoe</t>
  </si>
  <si>
    <t>zrgkwdyf</t>
  </si>
  <si>
    <t>zsbkamjf</t>
  </si>
  <si>
    <t>zsylhezi</t>
  </si>
  <si>
    <t>zvxjotpr</t>
  </si>
  <si>
    <t>​</t>
  </si>
  <si>
    <t>Num of trades</t>
  </si>
  <si>
    <t>Totale complessivo</t>
  </si>
  <si>
    <t>Australia Totale</t>
  </si>
  <si>
    <t>Brazil Totale</t>
  </si>
  <si>
    <t>Canada Totale</t>
  </si>
  <si>
    <t>China Totale</t>
  </si>
  <si>
    <t>Europe Totale</t>
  </si>
  <si>
    <t>Germany Totale</t>
  </si>
  <si>
    <t>Hong Kong Totale</t>
  </si>
  <si>
    <t>India Totale</t>
  </si>
  <si>
    <t>Iran Totale</t>
  </si>
  <si>
    <t>Japan Totale</t>
  </si>
  <si>
    <t>Saudi Arabia Totale</t>
  </si>
  <si>
    <t>South Africa Totale</t>
  </si>
  <si>
    <t>South Korea Totale</t>
  </si>
  <si>
    <t>Switzerland Totale</t>
  </si>
  <si>
    <t>Taiwan Totale</t>
  </si>
  <si>
    <t>United Kingdom Totale</t>
  </si>
  <si>
    <t>United States Totale</t>
  </si>
  <si>
    <t>Mandatory to pay taxes</t>
  </si>
  <si>
    <t>TradeID</t>
  </si>
  <si>
    <t>Duration</t>
  </si>
  <si>
    <t>Profit</t>
  </si>
  <si>
    <t>Media</t>
  </si>
  <si>
    <t>Errore standard</t>
  </si>
  <si>
    <t>Mediana</t>
  </si>
  <si>
    <t>Deviazione standard</t>
  </si>
  <si>
    <t>Moda</t>
  </si>
  <si>
    <t>Varianza campionaria</t>
  </si>
  <si>
    <t>Curtosi</t>
  </si>
  <si>
    <t>Asimmetria</t>
  </si>
  <si>
    <t>Intervallo</t>
  </si>
  <si>
    <t>Minimo</t>
  </si>
  <si>
    <t>Massimo</t>
  </si>
  <si>
    <t>Somma</t>
  </si>
  <si>
    <t>Conteggio</t>
  </si>
  <si>
    <t>MIN</t>
  </si>
  <si>
    <t>MAX</t>
  </si>
  <si>
    <t>N.INTERVALLI</t>
  </si>
  <si>
    <t>AMPIEZZA INTERVALLO</t>
  </si>
  <si>
    <t>Frequency Duration</t>
  </si>
  <si>
    <t>Absolute Frequency</t>
  </si>
  <si>
    <t>Normal Distribution</t>
  </si>
  <si>
    <t>Number of trades</t>
  </si>
  <si>
    <t>P(7volte/Regno Unito)</t>
  </si>
  <si>
    <t>P(Stato Asiatico&lt;=8)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</si>
</sst>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dd/mm/yy;@"/>
    <numFmt numFmtId="166" formatCode="[$$-409]#,##0.00000"/>
    <numFmt numFmtId="167" formatCode="0.000"/>
  </numFmts>
  <fonts count="17">
    <font>
      <sz val="10"/>
      <color rgb="FF000000"/>
      <name val="Arial"/>
      <scheme val="minor"/>
    </font>
    <font>
      <b/>
      <sz val="14"/>
      <color rgb="FF000000"/>
      <name val="Calibri"/>
    </font>
    <font>
      <b/>
      <sz val="14"/>
      <color theme="1"/>
      <name val="Calibri"/>
    </font>
    <font>
      <sz val="10"/>
      <color rgb="FF000000"/>
      <name val="Monospace"/>
    </font>
    <font>
      <sz val="10"/>
      <color rgb="FF000000"/>
      <name val="Calibri"/>
    </font>
    <font>
      <sz val="10"/>
      <color theme="1"/>
      <name val="Calibri"/>
    </font>
    <font>
      <sz val="11"/>
      <color rgb="FF000000"/>
      <name val="Monospace"/>
    </font>
    <font>
      <sz val="10"/>
      <color rgb="FF303F9F"/>
      <name val="Monospace"/>
    </font>
    <font>
      <sz val="10"/>
      <color theme="1"/>
      <name val="Inherit"/>
    </font>
    <font>
      <sz val="10"/>
      <color theme="1"/>
      <name val="Monospace"/>
    </font>
    <font>
      <b/>
      <sz val="12"/>
      <color rgb="FF002060"/>
      <name val="Comic Sans MS"/>
      <family val="4"/>
    </font>
    <font>
      <sz val="12"/>
      <color rgb="FF002060"/>
      <name val="Comic Sans MS"/>
      <family val="4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2"/>
      <color rgb="FF000000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F7F7F7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/>
    <xf numFmtId="0" fontId="5" fillId="0" borderId="0" xfId="0" applyFont="1"/>
    <xf numFmtId="164" fontId="3" fillId="0" borderId="0" xfId="0" applyNumberFormat="1" applyFont="1" applyAlignment="1">
      <alignment horizontal="left" wrapText="1"/>
    </xf>
    <xf numFmtId="0" fontId="6" fillId="2" borderId="0" xfId="0" applyFont="1" applyFill="1" applyAlignment="1">
      <alignment horizontal="left" wrapText="1"/>
    </xf>
    <xf numFmtId="11" fontId="6" fillId="2" borderId="0" xfId="0" applyNumberFormat="1" applyFont="1" applyFill="1" applyAlignment="1">
      <alignment horizontal="left"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right"/>
    </xf>
    <xf numFmtId="0" fontId="6" fillId="3" borderId="0" xfId="0" applyFont="1" applyFill="1" applyAlignment="1">
      <alignment wrapText="1"/>
    </xf>
    <xf numFmtId="0" fontId="9" fillId="0" borderId="0" xfId="0" applyFont="1" applyAlignment="1">
      <alignment horizontal="right"/>
    </xf>
    <xf numFmtId="0" fontId="10" fillId="4" borderId="2" xfId="0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3" fillId="4" borderId="3" xfId="0" applyFont="1" applyFill="1" applyBorder="1" applyAlignment="1">
      <alignment horizontal="left" wrapText="1"/>
    </xf>
    <xf numFmtId="0" fontId="4" fillId="4" borderId="3" xfId="0" applyFont="1" applyFill="1" applyBorder="1"/>
    <xf numFmtId="0" fontId="5" fillId="4" borderId="3" xfId="0" applyFont="1" applyFill="1" applyBorder="1"/>
    <xf numFmtId="0" fontId="6" fillId="5" borderId="3" xfId="0" applyFont="1" applyFill="1" applyBorder="1" applyAlignment="1">
      <alignment horizontal="left" wrapText="1"/>
    </xf>
    <xf numFmtId="0" fontId="5" fillId="4" borderId="0" xfId="0" applyFont="1" applyFill="1"/>
    <xf numFmtId="0" fontId="3" fillId="4" borderId="1" xfId="0" applyFont="1" applyFill="1" applyBorder="1" applyAlignment="1">
      <alignment horizontal="left" wrapText="1"/>
    </xf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 applyAlignment="1">
      <alignment horizontal="left" wrapText="1"/>
    </xf>
    <xf numFmtId="11" fontId="6" fillId="5" borderId="1" xfId="0" applyNumberFormat="1" applyFont="1" applyFill="1" applyBorder="1" applyAlignment="1">
      <alignment horizontal="left" wrapText="1"/>
    </xf>
    <xf numFmtId="0" fontId="3" fillId="4" borderId="0" xfId="0" applyFont="1" applyFill="1" applyAlignment="1">
      <alignment horizontal="left" wrapText="1"/>
    </xf>
    <xf numFmtId="0" fontId="4" fillId="4" borderId="0" xfId="0" applyFont="1" applyFill="1"/>
    <xf numFmtId="0" fontId="7" fillId="4" borderId="0" xfId="0" applyFont="1" applyFill="1" applyAlignment="1">
      <alignment horizontal="right" wrapText="1"/>
    </xf>
    <xf numFmtId="0" fontId="8" fillId="4" borderId="0" xfId="0" applyFont="1" applyFill="1" applyAlignment="1">
      <alignment horizontal="right"/>
    </xf>
    <xf numFmtId="0" fontId="6" fillId="6" borderId="0" xfId="0" applyFont="1" applyFill="1" applyAlignment="1">
      <alignment wrapText="1"/>
    </xf>
    <xf numFmtId="0" fontId="9" fillId="4" borderId="0" xfId="0" applyFont="1" applyFill="1" applyAlignment="1">
      <alignment horizontal="right"/>
    </xf>
    <xf numFmtId="165" fontId="3" fillId="4" borderId="3" xfId="0" applyNumberFormat="1" applyFont="1" applyFill="1" applyBorder="1" applyAlignment="1">
      <alignment horizontal="center" wrapText="1"/>
    </xf>
    <xf numFmtId="165" fontId="3" fillId="4" borderId="1" xfId="0" applyNumberFormat="1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166" fontId="0" fillId="4" borderId="3" xfId="0" applyNumberFormat="1" applyFill="1" applyBorder="1"/>
    <xf numFmtId="0" fontId="0" fillId="4" borderId="1" xfId="0" applyFill="1" applyBorder="1" applyAlignment="1">
      <alignment horizontal="center"/>
    </xf>
    <xf numFmtId="166" fontId="0" fillId="4" borderId="1" xfId="0" applyNumberFormat="1" applyFill="1" applyBorder="1"/>
    <xf numFmtId="0" fontId="12" fillId="4" borderId="0" xfId="0" applyFont="1" applyFill="1"/>
    <xf numFmtId="0" fontId="14" fillId="4" borderId="1" xfId="0" applyFont="1" applyFill="1" applyBorder="1"/>
    <xf numFmtId="0" fontId="14" fillId="4" borderId="0" xfId="0" applyFont="1" applyFill="1"/>
    <xf numFmtId="0" fontId="0" fillId="4" borderId="7" xfId="0" applyFill="1" applyBorder="1"/>
    <xf numFmtId="0" fontId="0" fillId="4" borderId="8" xfId="0" applyFill="1" applyBorder="1"/>
    <xf numFmtId="0" fontId="13" fillId="4" borderId="1" xfId="0" applyFont="1" applyFill="1" applyBorder="1" applyAlignment="1">
      <alignment horizontal="centerContinuous"/>
    </xf>
    <xf numFmtId="0" fontId="15" fillId="4" borderId="1" xfId="0" applyFont="1" applyFill="1" applyBorder="1" applyAlignment="1">
      <alignment horizontal="centerContinuous"/>
    </xf>
    <xf numFmtId="0" fontId="16" fillId="4" borderId="0" xfId="0" applyFont="1" applyFill="1"/>
    <xf numFmtId="0" fontId="11" fillId="4" borderId="5" xfId="0" applyFont="1" applyFill="1" applyBorder="1" applyAlignment="1">
      <alignment horizontal="center"/>
    </xf>
    <xf numFmtId="0" fontId="11" fillId="4" borderId="13" xfId="0" applyFont="1" applyFill="1" applyBorder="1"/>
    <xf numFmtId="0" fontId="16" fillId="4" borderId="14" xfId="0" applyFont="1" applyFill="1" applyBorder="1"/>
    <xf numFmtId="0" fontId="11" fillId="4" borderId="2" xfId="0" applyFont="1" applyFill="1" applyBorder="1"/>
    <xf numFmtId="0" fontId="16" fillId="4" borderId="15" xfId="0" applyFont="1" applyFill="1" applyBorder="1"/>
    <xf numFmtId="0" fontId="16" fillId="7" borderId="0" xfId="0" applyFont="1" applyFill="1"/>
    <xf numFmtId="167" fontId="16" fillId="7" borderId="1" xfId="0" applyNumberFormat="1" applyFont="1" applyFill="1" applyBorder="1"/>
    <xf numFmtId="0" fontId="16" fillId="4" borderId="9" xfId="0" applyFont="1" applyFill="1" applyBorder="1"/>
    <xf numFmtId="0" fontId="16" fillId="4" borderId="10" xfId="0" applyFont="1" applyFill="1" applyBorder="1"/>
    <xf numFmtId="0" fontId="16" fillId="4" borderId="11" xfId="0" applyFont="1" applyFill="1" applyBorder="1"/>
    <xf numFmtId="0" fontId="16" fillId="4" borderId="12" xfId="0" applyFont="1" applyFill="1" applyBorder="1"/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6" fillId="4" borderId="1" xfId="0" applyFont="1" applyFill="1" applyBorder="1"/>
    <xf numFmtId="0" fontId="0" fillId="0" borderId="1" xfId="0" applyBorder="1"/>
    <xf numFmtId="0" fontId="0" fillId="4" borderId="1" xfId="0" applyNumberFormat="1" applyFill="1" applyBorder="1"/>
  </cellXfs>
  <cellStyles count="1">
    <cellStyle name="Normale" xfId="0" builtinId="0"/>
  </cellStyles>
  <dxfs count="1430"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Time frequencies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'Profit insights'!$H$2:$H$11</c:f>
              <c:numCache>
                <c:formatCode>General</c:formatCode>
                <c:ptCount val="10"/>
                <c:pt idx="0">
                  <c:v>30</c:v>
                </c:pt>
                <c:pt idx="1">
                  <c:v>130</c:v>
                </c:pt>
                <c:pt idx="2">
                  <c:v>230</c:v>
                </c:pt>
                <c:pt idx="3">
                  <c:v>330</c:v>
                </c:pt>
                <c:pt idx="4">
                  <c:v>430</c:v>
                </c:pt>
                <c:pt idx="5">
                  <c:v>530</c:v>
                </c:pt>
                <c:pt idx="6">
                  <c:v>630</c:v>
                </c:pt>
                <c:pt idx="7">
                  <c:v>730</c:v>
                </c:pt>
                <c:pt idx="8">
                  <c:v>830</c:v>
                </c:pt>
                <c:pt idx="9">
                  <c:v>862</c:v>
                </c:pt>
              </c:numCache>
            </c:numRef>
          </c:cat>
          <c:val>
            <c:numRef>
              <c:f>'Profit insights'!$I$2:$I$11</c:f>
              <c:numCache>
                <c:formatCode>General</c:formatCode>
                <c:ptCount val="10"/>
                <c:pt idx="0">
                  <c:v>1</c:v>
                </c:pt>
                <c:pt idx="1">
                  <c:v>15</c:v>
                </c:pt>
                <c:pt idx="2">
                  <c:v>25</c:v>
                </c:pt>
                <c:pt idx="3">
                  <c:v>28</c:v>
                </c:pt>
                <c:pt idx="4">
                  <c:v>26</c:v>
                </c:pt>
                <c:pt idx="5">
                  <c:v>25</c:v>
                </c:pt>
                <c:pt idx="6">
                  <c:v>31</c:v>
                </c:pt>
                <c:pt idx="7">
                  <c:v>23</c:v>
                </c:pt>
                <c:pt idx="8">
                  <c:v>22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A-48B2-846F-C63C615B37B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324612336"/>
        <c:axId val="2042434144"/>
      </c:barChart>
      <c:catAx>
        <c:axId val="32461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2434144"/>
        <c:crosses val="autoZero"/>
        <c:auto val="1"/>
        <c:lblAlgn val="ctr"/>
        <c:lblOffset val="100"/>
        <c:noMultiLvlLbl val="0"/>
      </c:catAx>
      <c:valAx>
        <c:axId val="204243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461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Normal</a:t>
            </a:r>
            <a:r>
              <a:rPr lang="it-IT" baseline="0"/>
              <a:t> distribution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'Profit insights'!$J$2:$J$201</c:f>
              <c:numCache>
                <c:formatCode>General</c:formatCode>
                <c:ptCount val="200"/>
                <c:pt idx="0">
                  <c:v>0.18612022240363449</c:v>
                </c:pt>
                <c:pt idx="1">
                  <c:v>0.95967554326529791</c:v>
                </c:pt>
                <c:pt idx="2">
                  <c:v>0.49857644523770184</c:v>
                </c:pt>
                <c:pt idx="3">
                  <c:v>0.26078393486826834</c:v>
                </c:pt>
                <c:pt idx="4">
                  <c:v>0.78549593394728467</c:v>
                </c:pt>
                <c:pt idx="5">
                  <c:v>0.48246634231497426</c:v>
                </c:pt>
                <c:pt idx="6">
                  <c:v>0.46460088710321146</c:v>
                </c:pt>
                <c:pt idx="7">
                  <c:v>0.42383824794209546</c:v>
                </c:pt>
                <c:pt idx="8">
                  <c:v>0.70986877772623258</c:v>
                </c:pt>
                <c:pt idx="9">
                  <c:v>0.41157196708218374</c:v>
                </c:pt>
                <c:pt idx="10">
                  <c:v>0.73395436828992455</c:v>
                </c:pt>
                <c:pt idx="11">
                  <c:v>0.56807754184164194</c:v>
                </c:pt>
                <c:pt idx="12">
                  <c:v>6.3052107801330901E-2</c:v>
                </c:pt>
                <c:pt idx="13">
                  <c:v>0.83631020592584371</c:v>
                </c:pt>
                <c:pt idx="14">
                  <c:v>0.20597437497636367</c:v>
                </c:pt>
                <c:pt idx="15">
                  <c:v>4.7579593250984001E-2</c:v>
                </c:pt>
                <c:pt idx="16">
                  <c:v>0.9194410103267886</c:v>
                </c:pt>
                <c:pt idx="17">
                  <c:v>0.78154587557738386</c:v>
                </c:pt>
                <c:pt idx="18">
                  <c:v>0.9678553289590075</c:v>
                </c:pt>
                <c:pt idx="19">
                  <c:v>0.79582416556248048</c:v>
                </c:pt>
                <c:pt idx="20">
                  <c:v>0.6670612758378992</c:v>
                </c:pt>
                <c:pt idx="21">
                  <c:v>0.87676054945768678</c:v>
                </c:pt>
                <c:pt idx="22">
                  <c:v>0.66869093180947914</c:v>
                </c:pt>
                <c:pt idx="23">
                  <c:v>0.16975773748345369</c:v>
                </c:pt>
                <c:pt idx="24">
                  <c:v>3.6728751576747688E-2</c:v>
                </c:pt>
                <c:pt idx="25">
                  <c:v>0.13790569017132268</c:v>
                </c:pt>
                <c:pt idx="26">
                  <c:v>0.52720554104826478</c:v>
                </c:pt>
                <c:pt idx="27">
                  <c:v>0.68480783068157247</c:v>
                </c:pt>
                <c:pt idx="28">
                  <c:v>0.61167735078759855</c:v>
                </c:pt>
                <c:pt idx="29">
                  <c:v>0.85547274105707571</c:v>
                </c:pt>
                <c:pt idx="30">
                  <c:v>0.3890280379373825</c:v>
                </c:pt>
                <c:pt idx="31">
                  <c:v>0.93936210195998149</c:v>
                </c:pt>
                <c:pt idx="32">
                  <c:v>0.58739731290585717</c:v>
                </c:pt>
                <c:pt idx="33">
                  <c:v>0.75978441243641459</c:v>
                </c:pt>
                <c:pt idx="34">
                  <c:v>0.4717405360769284</c:v>
                </c:pt>
                <c:pt idx="35">
                  <c:v>0.96413239035868381</c:v>
                </c:pt>
                <c:pt idx="36">
                  <c:v>7.5588157639796885E-2</c:v>
                </c:pt>
                <c:pt idx="37">
                  <c:v>0.49678583826849509</c:v>
                </c:pt>
                <c:pt idx="38">
                  <c:v>0.55746732073636607</c:v>
                </c:pt>
                <c:pt idx="39">
                  <c:v>4.4545871557699034E-2</c:v>
                </c:pt>
                <c:pt idx="40">
                  <c:v>0.9059197869772313</c:v>
                </c:pt>
                <c:pt idx="41">
                  <c:v>6.1401796069812858E-2</c:v>
                </c:pt>
                <c:pt idx="42">
                  <c:v>0.21899720072153353</c:v>
                </c:pt>
                <c:pt idx="43">
                  <c:v>0.15865338978043819</c:v>
                </c:pt>
                <c:pt idx="44">
                  <c:v>0.87584332661520781</c:v>
                </c:pt>
                <c:pt idx="45">
                  <c:v>0.89574814842203421</c:v>
                </c:pt>
                <c:pt idx="46">
                  <c:v>0.28922520684631464</c:v>
                </c:pt>
                <c:pt idx="47">
                  <c:v>0.73247919785649884</c:v>
                </c:pt>
                <c:pt idx="48">
                  <c:v>0.6304579921732405</c:v>
                </c:pt>
                <c:pt idx="49">
                  <c:v>0.46103518749573469</c:v>
                </c:pt>
                <c:pt idx="50">
                  <c:v>0.77080997608809787</c:v>
                </c:pt>
                <c:pt idx="51">
                  <c:v>0.78021993818392965</c:v>
                </c:pt>
                <c:pt idx="52">
                  <c:v>0.79709403839412862</c:v>
                </c:pt>
                <c:pt idx="53">
                  <c:v>0.2861639060240031</c:v>
                </c:pt>
                <c:pt idx="54">
                  <c:v>9.8220487246137786E-2</c:v>
                </c:pt>
                <c:pt idx="55">
                  <c:v>0.9382763363300145</c:v>
                </c:pt>
                <c:pt idx="56">
                  <c:v>0.31744437148789761</c:v>
                </c:pt>
                <c:pt idx="57">
                  <c:v>0.76256760458053352</c:v>
                </c:pt>
                <c:pt idx="58">
                  <c:v>2.9766568088785975E-2</c:v>
                </c:pt>
                <c:pt idx="59">
                  <c:v>0.80830918726365009</c:v>
                </c:pt>
                <c:pt idx="60">
                  <c:v>0.87399457944624159</c:v>
                </c:pt>
                <c:pt idx="61">
                  <c:v>0.11381678722033335</c:v>
                </c:pt>
                <c:pt idx="62">
                  <c:v>0.77352135145630152</c:v>
                </c:pt>
                <c:pt idx="63">
                  <c:v>0.22433609028744392</c:v>
                </c:pt>
                <c:pt idx="64">
                  <c:v>0.85750458016488218</c:v>
                </c:pt>
                <c:pt idx="65">
                  <c:v>0.33524190460881842</c:v>
                </c:pt>
                <c:pt idx="66">
                  <c:v>0.19342233307406859</c:v>
                </c:pt>
                <c:pt idx="67">
                  <c:v>0.13496095342579423</c:v>
                </c:pt>
                <c:pt idx="68">
                  <c:v>5.2198103573280946E-2</c:v>
                </c:pt>
                <c:pt idx="69">
                  <c:v>0.53077734576712587</c:v>
                </c:pt>
                <c:pt idx="70">
                  <c:v>0.15328397535069677</c:v>
                </c:pt>
                <c:pt idx="71">
                  <c:v>0.17782027966583888</c:v>
                </c:pt>
                <c:pt idx="72">
                  <c:v>0.26517721776751635</c:v>
                </c:pt>
                <c:pt idx="73">
                  <c:v>0.60650760217980271</c:v>
                </c:pt>
                <c:pt idx="74">
                  <c:v>0.24218837373188173</c:v>
                </c:pt>
                <c:pt idx="75">
                  <c:v>0.16083527712614881</c:v>
                </c:pt>
                <c:pt idx="76">
                  <c:v>0.702137821542131</c:v>
                </c:pt>
                <c:pt idx="77">
                  <c:v>0.85135075434718366</c:v>
                </c:pt>
                <c:pt idx="78">
                  <c:v>0.13014949213125832</c:v>
                </c:pt>
                <c:pt idx="79">
                  <c:v>0.8821641794782209</c:v>
                </c:pt>
                <c:pt idx="80">
                  <c:v>0.42383824794209546</c:v>
                </c:pt>
                <c:pt idx="81">
                  <c:v>0.88910511113114632</c:v>
                </c:pt>
                <c:pt idx="82">
                  <c:v>0.32872449071782628</c:v>
                </c:pt>
                <c:pt idx="83">
                  <c:v>0.14291036458498646</c:v>
                </c:pt>
                <c:pt idx="84">
                  <c:v>0.40634059681206425</c:v>
                </c:pt>
                <c:pt idx="85">
                  <c:v>0.13790569017132268</c:v>
                </c:pt>
                <c:pt idx="86">
                  <c:v>0.4699546818629653</c:v>
                </c:pt>
                <c:pt idx="87">
                  <c:v>0.89411507497589271</c:v>
                </c:pt>
                <c:pt idx="88">
                  <c:v>0.92530897295251036</c:v>
                </c:pt>
                <c:pt idx="89">
                  <c:v>0.90889715948861249</c:v>
                </c:pt>
                <c:pt idx="90">
                  <c:v>0.9118040719107583</c:v>
                </c:pt>
                <c:pt idx="91">
                  <c:v>0.47531391378964</c:v>
                </c:pt>
                <c:pt idx="92">
                  <c:v>0.76256760458053352</c:v>
                </c:pt>
                <c:pt idx="93">
                  <c:v>0.91672390317657748</c:v>
                </c:pt>
                <c:pt idx="94">
                  <c:v>0.93084499117798281</c:v>
                </c:pt>
                <c:pt idx="95">
                  <c:v>0.17433576897482633</c:v>
                </c:pt>
                <c:pt idx="96">
                  <c:v>0.77080997608809787</c:v>
                </c:pt>
                <c:pt idx="97">
                  <c:v>0.71446175449899452</c:v>
                </c:pt>
                <c:pt idx="98">
                  <c:v>0.44325930714203321</c:v>
                </c:pt>
                <c:pt idx="99">
                  <c:v>3.8946292955566668E-2</c:v>
                </c:pt>
                <c:pt idx="100">
                  <c:v>0.57863887935822123</c:v>
                </c:pt>
                <c:pt idx="101">
                  <c:v>4.3708317645376041E-2</c:v>
                </c:pt>
                <c:pt idx="102">
                  <c:v>0.40460046612833783</c:v>
                </c:pt>
                <c:pt idx="103">
                  <c:v>0.39765912100913048</c:v>
                </c:pt>
                <c:pt idx="104">
                  <c:v>0.93936210195998149</c:v>
                </c:pt>
                <c:pt idx="105">
                  <c:v>0.78154587557738386</c:v>
                </c:pt>
                <c:pt idx="106">
                  <c:v>7.3064308819134546E-2</c:v>
                </c:pt>
                <c:pt idx="107">
                  <c:v>9.9000184242757458E-2</c:v>
                </c:pt>
                <c:pt idx="108">
                  <c:v>0.175492421344698</c:v>
                </c:pt>
                <c:pt idx="109">
                  <c:v>0.93717545184589157</c:v>
                </c:pt>
                <c:pt idx="110">
                  <c:v>0.21112749523239063</c:v>
                </c:pt>
                <c:pt idx="111">
                  <c:v>3.3597027689952465E-2</c:v>
                </c:pt>
                <c:pt idx="112">
                  <c:v>0.36854297654224344</c:v>
                </c:pt>
                <c:pt idx="113">
                  <c:v>0.88304823005398325</c:v>
                </c:pt>
                <c:pt idx="114">
                  <c:v>0.64726659533519526</c:v>
                </c:pt>
                <c:pt idx="115">
                  <c:v>0.44148738380781405</c:v>
                </c:pt>
                <c:pt idx="116">
                  <c:v>0.34511118613792602</c:v>
                </c:pt>
                <c:pt idx="117">
                  <c:v>0.26224419098569657</c:v>
                </c:pt>
                <c:pt idx="118">
                  <c:v>0.11643239018099746</c:v>
                </c:pt>
                <c:pt idx="119">
                  <c:v>0.49141455014077196</c:v>
                </c:pt>
                <c:pt idx="120">
                  <c:v>0.18253411531999533</c:v>
                </c:pt>
                <c:pt idx="121">
                  <c:v>3.9326272139616446E-2</c:v>
                </c:pt>
                <c:pt idx="122">
                  <c:v>0.75557650029708689</c:v>
                </c:pt>
                <c:pt idx="123">
                  <c:v>0.10871180622083704</c:v>
                </c:pt>
                <c:pt idx="124">
                  <c:v>0.90440445048609197</c:v>
                </c:pt>
                <c:pt idx="125">
                  <c:v>9.0669658772303055E-2</c:v>
                </c:pt>
                <c:pt idx="126">
                  <c:v>0.76395253383683637</c:v>
                </c:pt>
                <c:pt idx="127">
                  <c:v>0.42208110376102714</c:v>
                </c:pt>
                <c:pt idx="128">
                  <c:v>0.91533977727982274</c:v>
                </c:pt>
                <c:pt idx="129">
                  <c:v>0.95080153778322873</c:v>
                </c:pt>
                <c:pt idx="130">
                  <c:v>0.29384580657808718</c:v>
                </c:pt>
                <c:pt idx="131">
                  <c:v>0.83741621057881066</c:v>
                </c:pt>
                <c:pt idx="132">
                  <c:v>0.86348375148010181</c:v>
                </c:pt>
                <c:pt idx="133">
                  <c:v>0.25211108353062167</c:v>
                </c:pt>
                <c:pt idx="134">
                  <c:v>0.91533977727982274</c:v>
                </c:pt>
                <c:pt idx="135">
                  <c:v>0.72203888539146677</c:v>
                </c:pt>
                <c:pt idx="136">
                  <c:v>0.10377360034229909</c:v>
                </c:pt>
                <c:pt idx="137">
                  <c:v>0.53434667526060431</c:v>
                </c:pt>
                <c:pt idx="138">
                  <c:v>8.6350930935812462E-2</c:v>
                </c:pt>
                <c:pt idx="139">
                  <c:v>0.23939270178771951</c:v>
                </c:pt>
                <c:pt idx="140">
                  <c:v>0.6555666732737766</c:v>
                </c:pt>
                <c:pt idx="141">
                  <c:v>0.17782027966583888</c:v>
                </c:pt>
                <c:pt idx="142">
                  <c:v>0.94506902089897205</c:v>
                </c:pt>
                <c:pt idx="143">
                  <c:v>7.1214128529967613E-2</c:v>
                </c:pt>
                <c:pt idx="144">
                  <c:v>0.69901935312579022</c:v>
                </c:pt>
                <c:pt idx="145">
                  <c:v>0.26078393486826834</c:v>
                </c:pt>
                <c:pt idx="146">
                  <c:v>0.5111094770236031</c:v>
                </c:pt>
                <c:pt idx="147">
                  <c:v>0.42911863734426114</c:v>
                </c:pt>
                <c:pt idx="148">
                  <c:v>0.37023676943920736</c:v>
                </c:pt>
                <c:pt idx="149">
                  <c:v>0.19713803515314696</c:v>
                </c:pt>
                <c:pt idx="150">
                  <c:v>5.1720801624204192E-2</c:v>
                </c:pt>
                <c:pt idx="151">
                  <c:v>0.37533314624469655</c:v>
                </c:pt>
                <c:pt idx="152">
                  <c:v>0.8702397144680134</c:v>
                </c:pt>
                <c:pt idx="153">
                  <c:v>0.27857872876428941</c:v>
                </c:pt>
                <c:pt idx="154">
                  <c:v>0.94751865151633186</c:v>
                </c:pt>
                <c:pt idx="155">
                  <c:v>0.44680652490900818</c:v>
                </c:pt>
                <c:pt idx="156">
                  <c:v>8.287104715305732E-2</c:v>
                </c:pt>
                <c:pt idx="157">
                  <c:v>0.48783449597070155</c:v>
                </c:pt>
                <c:pt idx="158">
                  <c:v>0.41857149833881446</c:v>
                </c:pt>
                <c:pt idx="159">
                  <c:v>0.31904579064991623</c:v>
                </c:pt>
                <c:pt idx="160">
                  <c:v>0.86737319403555735</c:v>
                </c:pt>
                <c:pt idx="161">
                  <c:v>0.16749790165062561</c:v>
                </c:pt>
                <c:pt idx="162">
                  <c:v>8.7773076155726382E-2</c:v>
                </c:pt>
                <c:pt idx="163">
                  <c:v>0.86446334870242425</c:v>
                </c:pt>
                <c:pt idx="164">
                  <c:v>0.34016285693318205</c:v>
                </c:pt>
                <c:pt idx="165">
                  <c:v>0.14392584686950749</c:v>
                </c:pt>
                <c:pt idx="166">
                  <c:v>0.516478141157101</c:v>
                </c:pt>
                <c:pt idx="167">
                  <c:v>8.4250123272988781E-2</c:v>
                </c:pt>
                <c:pt idx="168">
                  <c:v>8.4250123272988781E-2</c:v>
                </c:pt>
                <c:pt idx="169">
                  <c:v>0.90667077587688671</c:v>
                </c:pt>
                <c:pt idx="170">
                  <c:v>0.662153445684316</c:v>
                </c:pt>
                <c:pt idx="171">
                  <c:v>0.69745461913720608</c:v>
                </c:pt>
                <c:pt idx="172">
                  <c:v>0.16083527712614881</c:v>
                </c:pt>
                <c:pt idx="173">
                  <c:v>0.91323133978720605</c:v>
                </c:pt>
                <c:pt idx="174">
                  <c:v>0.95928467935038819</c:v>
                </c:pt>
                <c:pt idx="175">
                  <c:v>0.10622197640180783</c:v>
                </c:pt>
                <c:pt idx="176">
                  <c:v>0.93936210195998149</c:v>
                </c:pt>
                <c:pt idx="177">
                  <c:v>0.57160378674500179</c:v>
                </c:pt>
                <c:pt idx="178">
                  <c:v>0.88038191676830757</c:v>
                </c:pt>
                <c:pt idx="179">
                  <c:v>0.84502176388349204</c:v>
                </c:pt>
                <c:pt idx="180">
                  <c:v>0.59088879581751907</c:v>
                </c:pt>
                <c:pt idx="181">
                  <c:v>0.16303666191667104</c:v>
                </c:pt>
                <c:pt idx="182">
                  <c:v>0.22974809572193339</c:v>
                </c:pt>
                <c:pt idx="183">
                  <c:v>0.5182670802966145</c:v>
                </c:pt>
                <c:pt idx="184">
                  <c:v>0.73395436828992455</c:v>
                </c:pt>
                <c:pt idx="185">
                  <c:v>4.8476123926246936E-2</c:v>
                </c:pt>
                <c:pt idx="186">
                  <c:v>0.90889715948861249</c:v>
                </c:pt>
                <c:pt idx="187">
                  <c:v>0.78154587557738386</c:v>
                </c:pt>
                <c:pt idx="188">
                  <c:v>0.31425178680774235</c:v>
                </c:pt>
                <c:pt idx="189">
                  <c:v>0.91251987825444481</c:v>
                </c:pt>
                <c:pt idx="190">
                  <c:v>0.35843482767165968</c:v>
                </c:pt>
                <c:pt idx="191">
                  <c:v>0.11381678722033335</c:v>
                </c:pt>
                <c:pt idx="192">
                  <c:v>0.67679086111529252</c:v>
                </c:pt>
                <c:pt idx="193">
                  <c:v>0.63384093124713525</c:v>
                </c:pt>
                <c:pt idx="194">
                  <c:v>0.6555666732737766</c:v>
                </c:pt>
                <c:pt idx="195">
                  <c:v>0.87676054945768678</c:v>
                </c:pt>
                <c:pt idx="196">
                  <c:v>0.73981355861192499</c:v>
                </c:pt>
                <c:pt idx="197">
                  <c:v>9.5908399631086674E-2</c:v>
                </c:pt>
                <c:pt idx="198">
                  <c:v>0.24359281867895283</c:v>
                </c:pt>
                <c:pt idx="199">
                  <c:v>0.54681571738099644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1-472A-84A2-6A7DB7DA4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591696"/>
        <c:axId val="2042432656"/>
      </c:scatterChart>
      <c:valAx>
        <c:axId val="32459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2432656"/>
        <c:crosses val="autoZero"/>
        <c:crossBetween val="midCat"/>
      </c:valAx>
      <c:valAx>
        <c:axId val="204243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459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975360</xdr:colOff>
      <xdr:row>23</xdr:row>
      <xdr:rowOff>64770</xdr:rowOff>
    </xdr:from>
    <xdr:to>
      <xdr:col>8</xdr:col>
      <xdr:colOff>335280</xdr:colOff>
      <xdr:row>42</xdr:row>
      <xdr:rowOff>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948DFED5-3193-9A04-D9FC-A3F990C27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1203960</xdr:colOff>
      <xdr:row>44</xdr:row>
      <xdr:rowOff>34290</xdr:rowOff>
    </xdr:from>
    <xdr:to>
      <xdr:col>8</xdr:col>
      <xdr:colOff>350520</xdr:colOff>
      <xdr:row>60</xdr:row>
      <xdr:rowOff>95250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24D0B7B4-565D-FCEC-A628-6C1897392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243840</xdr:colOff>
      <xdr:row>63</xdr:row>
      <xdr:rowOff>99060</xdr:rowOff>
    </xdr:from>
    <xdr:to>
      <xdr:col>8</xdr:col>
      <xdr:colOff>1021080</xdr:colOff>
      <xdr:row>67</xdr:row>
      <xdr:rowOff>106680</xdr:rowOff>
    </xdr:to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6CA671C8-118D-264A-36DF-9D6CFFEB0C07}"/>
            </a:ext>
          </a:extLst>
        </xdr:cNvPr>
        <xdr:cNvSpPr txBox="1"/>
      </xdr:nvSpPr>
      <xdr:spPr>
        <a:xfrm>
          <a:off x="2849880" y="10736580"/>
          <a:ext cx="5989320" cy="678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Dall'analisi dei dati, la durata non assume una distribuzione normale. Osservando il grafico, la curva non assume la forma caratteristica della distribuzione normale, ovvero simile ad una campana. Moda</a:t>
          </a:r>
          <a:r>
            <a:rPr lang="it-IT" sz="1100" baseline="0"/>
            <a:t>, mediana e valor medio non coincidono</a:t>
          </a:r>
          <a:endParaRPr lang="it-IT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maso Ruzza" refreshedDate="45283.487882407404" createdVersion="8" refreshedVersion="8" minRefreshableVersion="3" recordCount="200" xr:uid="{5BA36DA9-F36A-4619-8B91-5BB5D083BC2F}">
  <cacheSource type="worksheet">
    <worksheetSource ref="A1:H201" sheet="My trades"/>
  </cacheSource>
  <cacheFields count="8">
    <cacheField name="Trade" numFmtId="0">
      <sharedItems/>
    </cacheField>
    <cacheField name="Stock exchange" numFmtId="0">
      <sharedItems count="21">
        <s v="Bombay Stock Exchange"/>
        <s v="Tehran Stock Exchange"/>
        <s v="National Stock Exchange"/>
        <s v="SIX Swiss Exchange"/>
        <s v="Euronext"/>
        <s v="Korea Exchange"/>
        <s v="Johannesburg Stock Exchange"/>
        <s v="Toronto Stock Exchange"/>
        <s v="Deutsche Börse AG"/>
        <s v="Saudi Stock Exchange (Tadawul)"/>
        <s v="Japan Exchange Group"/>
        <s v="Hong Kong Stock Exchange"/>
        <s v="Shanghai Stock Exchange"/>
        <s v="London Stock Exchange"/>
        <s v="B3 Brasil Bolsa Balcão"/>
        <s v="Nasdaq"/>
        <s v="Shenzhen Stock Exchange"/>
        <s v="Taiwan Stock Exchange"/>
        <s v="New York Stock Exchange"/>
        <s v="Australian Securities Exchange"/>
        <s v="Nasdaq Nordic and Baltic Exchanges"/>
      </sharedItems>
    </cacheField>
    <cacheField name="Region" numFmtId="0">
      <sharedItems count="17">
        <s v="India"/>
        <s v="Iran"/>
        <s v="Switzerland"/>
        <s v="Europe"/>
        <s v="South Korea"/>
        <s v="South Africa"/>
        <s v="Canada"/>
        <s v="Germany"/>
        <s v="Saudi Arabia"/>
        <s v="Japan"/>
        <s v="Hong Kong"/>
        <s v="China"/>
        <s v="United Kingdom"/>
        <s v="Brazil"/>
        <s v="United States"/>
        <s v="Taiwan"/>
        <s v="Australia"/>
      </sharedItems>
    </cacheField>
    <cacheField name="Date added" numFmtId="165">
      <sharedItems containsSemiMixedTypes="0" containsNonDate="0" containsDate="1" containsString="0" minDate="2021-01-02T00:00:00" maxDate="2022-12-31T00:00:00"/>
    </cacheField>
    <cacheField name="Quantity" numFmtId="0">
      <sharedItems containsSemiMixedTypes="0" containsString="0" containsNumber="1" containsInteger="1" minValue="1" maxValue="10"/>
    </cacheField>
    <cacheField name="Buy Price" numFmtId="0">
      <sharedItems containsSemiMixedTypes="0" containsString="0" containsNumber="1" minValue="2.2027610408179498E-3" maxValue="0.98933192835650696"/>
    </cacheField>
    <cacheField name="Date sold" numFmtId="165">
      <sharedItems containsSemiMixedTypes="0" containsNonDate="0" containsDate="1" containsString="0" minDate="2023-01-02T00:00:00" maxDate="2023-06-16T00:00:00"/>
    </cacheField>
    <cacheField name="Sell Price" numFmtId="0">
      <sharedItems containsSemiMixedTypes="0" containsString="0" containsNumber="1" minValue="6.0761804468123501E-5" maxValue="0.99207281995433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agfgcfxt"/>
    <x v="0"/>
    <x v="0"/>
    <d v="2022-10-07T00:00:00"/>
    <n v="7"/>
    <n v="0.28318547112501802"/>
    <d v="2023-06-15T00:00:00"/>
    <n v="0.557129814707503"/>
  </r>
  <r>
    <s v="aieoltom"/>
    <x v="1"/>
    <x v="1"/>
    <d v="2021-01-04T00:00:00"/>
    <n v="2"/>
    <n v="0.64142747007026002"/>
    <d v="2023-04-23T00:00:00"/>
    <n v="0.88983597888511301"/>
  </r>
  <r>
    <s v="almuieaq"/>
    <x v="2"/>
    <x v="0"/>
    <d v="2021-11-19T00:00:00"/>
    <n v="6"/>
    <n v="0.98092817996517101"/>
    <d v="2023-02-11T00:00:00"/>
    <n v="0.72256312699759195"/>
  </r>
  <r>
    <s v="apxkynfx"/>
    <x v="3"/>
    <x v="2"/>
    <d v="2022-04-13T00:00:00"/>
    <n v="1"/>
    <n v="0.46027529609517198"/>
    <d v="2023-02-14T00:00:00"/>
    <n v="0.82793169583258497"/>
  </r>
  <r>
    <s v="bbjeprsq"/>
    <x v="0"/>
    <x v="0"/>
    <d v="2021-06-04T00:00:00"/>
    <n v="9"/>
    <n v="0.55179844990216698"/>
    <d v="2023-02-20T00:00:00"/>
    <n v="0.19789786446941801"/>
  </r>
  <r>
    <s v="bcizkhng"/>
    <x v="4"/>
    <x v="3"/>
    <d v="2021-11-29T00:00:00"/>
    <n v="1"/>
    <n v="0.30386848867018701"/>
    <d v="2023-02-12T00:00:00"/>
    <n v="0.97814412656590199"/>
  </r>
  <r>
    <s v="bdkloegq"/>
    <x v="5"/>
    <x v="4"/>
    <d v="2021-10-31T00:00:00"/>
    <n v="3"/>
    <n v="0.100945559071712"/>
    <d v="2023-01-04T00:00:00"/>
    <n v="0.407405377776074"/>
  </r>
  <r>
    <s v="beszhcyh"/>
    <x v="6"/>
    <x v="5"/>
    <d v="2022-01-23T00:00:00"/>
    <n v="4"/>
    <n v="0.13652069785058399"/>
    <d v="2023-03-06T00:00:00"/>
    <n v="0.38969057106772598"/>
  </r>
  <r>
    <s v="bjfxoyxb"/>
    <x v="7"/>
    <x v="6"/>
    <d v="2021-10-03T00:00:00"/>
    <n v="10"/>
    <n v="0.41670439236003598"/>
    <d v="2023-04-29T00:00:00"/>
    <n v="0.54934508287877304"/>
  </r>
  <r>
    <s v="bpjmrhjo"/>
    <x v="4"/>
    <x v="3"/>
    <d v="2022-01-26T00:00:00"/>
    <n v="6"/>
    <n v="0.24316986891245501"/>
    <d v="2023-03-02T00:00:00"/>
    <n v="0.420232824731951"/>
  </r>
  <r>
    <s v="brxwzrct"/>
    <x v="8"/>
    <x v="7"/>
    <d v="2021-07-30T00:00:00"/>
    <n v="5"/>
    <n v="0.80079383386161695"/>
    <d v="2023-03-11T00:00:00"/>
    <n v="0.89666229529100405"/>
  </r>
  <r>
    <s v="bumcnvke"/>
    <x v="0"/>
    <x v="0"/>
    <d v="2021-12-13T00:00:00"/>
    <n v="10"/>
    <n v="0.638981266676107"/>
    <d v="2023-04-15T00:00:00"/>
    <n v="0.77496721699985804"/>
  </r>
  <r>
    <s v="cesjzpbs"/>
    <x v="0"/>
    <x v="0"/>
    <d v="2022-12-30T00:00:00"/>
    <n v="8"/>
    <n v="0.34625418958602699"/>
    <d v="2023-04-18T00:00:00"/>
    <n v="0.71065052633396197"/>
  </r>
  <r>
    <s v="cetffxgx"/>
    <x v="9"/>
    <x v="8"/>
    <d v="2021-06-08T00:00:00"/>
    <n v="6"/>
    <n v="0.36584758654187899"/>
    <d v="2023-04-07T00:00:00"/>
    <n v="0.45311698845143"/>
  </r>
  <r>
    <s v="chhqshvn"/>
    <x v="6"/>
    <x v="5"/>
    <d v="2022-05-29T00:00:00"/>
    <n v="6"/>
    <n v="0.379060395757914"/>
    <d v="2023-02-20T00:00:00"/>
    <n v="0.31616207722275602"/>
  </r>
  <r>
    <s v="ciykrilb"/>
    <x v="10"/>
    <x v="9"/>
    <d v="2022-12-27T00:00:00"/>
    <n v="8"/>
    <n v="0.72895214290311094"/>
    <d v="2023-03-15T00:00:00"/>
    <n v="0.22418004410534101"/>
  </r>
  <r>
    <s v="cnitsbpk"/>
    <x v="11"/>
    <x v="10"/>
    <d v="2021-04-08T00:00:00"/>
    <n v="5"/>
    <n v="0.42202075102150899"/>
    <d v="2023-05-10T00:00:00"/>
    <n v="0.38793156543941099"/>
  </r>
  <r>
    <s v="cntrbotn"/>
    <x v="12"/>
    <x v="11"/>
    <d v="2021-05-25T00:00:00"/>
    <n v="4"/>
    <n v="0.221183884694959"/>
    <d v="2023-02-07T00:00:00"/>
    <n v="0.33188863151931702"/>
  </r>
  <r>
    <s v="cwuqczya"/>
    <x v="2"/>
    <x v="0"/>
    <d v="2021-01-09T00:00:00"/>
    <n v="1"/>
    <n v="0.33608049957319502"/>
    <d v="2023-05-21T00:00:00"/>
    <n v="0.632173644236244"/>
  </r>
  <r>
    <s v="cymioqte"/>
    <x v="10"/>
    <x v="9"/>
    <d v="2021-07-08T00:00:00"/>
    <n v="1"/>
    <n v="0.66879924137456503"/>
    <d v="2023-04-03T00:00:00"/>
    <n v="0.97050369055421803"/>
  </r>
  <r>
    <s v="dcnexoao"/>
    <x v="13"/>
    <x v="12"/>
    <d v="2021-08-10T00:00:00"/>
    <n v="1"/>
    <n v="0.94855371414201095"/>
    <d v="2023-02-07T00:00:00"/>
    <n v="0.335795433783181"/>
  </r>
  <r>
    <s v="dcplrgaa"/>
    <x v="0"/>
    <x v="0"/>
    <d v="2021-04-17T00:00:00"/>
    <n v="9"/>
    <n v="0.84008770787604403"/>
    <d v="2023-03-26T00:00:00"/>
    <n v="0.55247139186324401"/>
  </r>
  <r>
    <s v="dieionnl"/>
    <x v="14"/>
    <x v="13"/>
    <d v="2021-09-30T00:00:00"/>
    <n v="2"/>
    <n v="2.2027610408179498E-3"/>
    <d v="2023-03-31T00:00:00"/>
    <n v="0.38274839978632802"/>
  </r>
  <r>
    <s v="dlgsjszn"/>
    <x v="15"/>
    <x v="14"/>
    <d v="2022-08-13T00:00:00"/>
    <n v="3"/>
    <n v="0.70520735936114698"/>
    <d v="2023-04-07T00:00:00"/>
    <n v="0.85427426099032899"/>
  </r>
  <r>
    <s v="dpaxyvrx"/>
    <x v="7"/>
    <x v="6"/>
    <d v="2022-11-17T00:00:00"/>
    <n v="2"/>
    <n v="0.83894286337563995"/>
    <d v="2023-01-07T00:00:00"/>
    <n v="0.67630232908539301"/>
  </r>
  <r>
    <s v="dspetbsq"/>
    <x v="14"/>
    <x v="13"/>
    <d v="2022-06-13T00:00:00"/>
    <n v="8"/>
    <n v="0.87889715359181098"/>
    <d v="2023-01-06T00:00:00"/>
    <n v="0.20020556920871699"/>
  </r>
  <r>
    <s v="ebkkmqbi"/>
    <x v="5"/>
    <x v="4"/>
    <d v="2022-02-07T00:00:00"/>
    <n v="7"/>
    <n v="0.81200798012546904"/>
    <d v="2023-05-18T00:00:00"/>
    <n v="0.26150647842758601"/>
  </r>
  <r>
    <s v="egvfikiy"/>
    <x v="0"/>
    <x v="0"/>
    <d v="2021-10-23T00:00:00"/>
    <n v="1"/>
    <n v="0.27554760755730201"/>
    <d v="2023-05-03T00:00:00"/>
    <n v="0.19858809226913399"/>
  </r>
  <r>
    <s v="eknpqcge"/>
    <x v="0"/>
    <x v="0"/>
    <d v="2021-11-23T00:00:00"/>
    <n v="3"/>
    <n v="0.15183590676997499"/>
    <d v="2023-04-20T00:00:00"/>
    <n v="0.96263635120934099"/>
  </r>
  <r>
    <s v="ekteqlhb"/>
    <x v="8"/>
    <x v="7"/>
    <d v="2021-03-26T00:00:00"/>
    <n v="1"/>
    <n v="0.31751651418006399"/>
    <d v="2023-02-10T00:00:00"/>
    <n v="0.47080505116614901"/>
  </r>
  <r>
    <s v="emjmheht"/>
    <x v="13"/>
    <x v="12"/>
    <d v="2022-02-02T00:00:00"/>
    <n v="7"/>
    <n v="8.2508842921547004E-2"/>
    <d v="2023-02-24T00:00:00"/>
    <n v="0.90723039307728803"/>
  </r>
  <r>
    <s v="eodhevfz"/>
    <x v="16"/>
    <x v="11"/>
    <d v="2021-02-12T00:00:00"/>
    <n v="9"/>
    <n v="3.8415611438702597E-2"/>
    <d v="2023-04-18T00:00:00"/>
    <n v="0.69214535069910299"/>
  </r>
  <r>
    <s v="ewzlrcco"/>
    <x v="17"/>
    <x v="15"/>
    <d v="2021-12-11T00:00:00"/>
    <n v="9"/>
    <n v="0.215773738787989"/>
    <d v="2023-04-24T00:00:00"/>
    <n v="0.54884364241615202"/>
  </r>
  <r>
    <s v="fenldjbq"/>
    <x v="8"/>
    <x v="7"/>
    <d v="2021-09-07T00:00:00"/>
    <n v="5"/>
    <n v="0.72585135876436702"/>
    <d v="2023-05-07T00:00:00"/>
    <n v="0.173994592694031"/>
  </r>
  <r>
    <s v="fipcayvv"/>
    <x v="3"/>
    <x v="2"/>
    <d v="2021-12-24T00:00:00"/>
    <n v="8"/>
    <n v="0.68255570090641804"/>
    <d v="2023-03-03T00:00:00"/>
    <n v="0.60454082217188998"/>
  </r>
  <r>
    <s v="fjcdzhde"/>
    <x v="4"/>
    <x v="3"/>
    <d v="2021-01-02T00:00:00"/>
    <n v="3"/>
    <n v="0.80123839065137303"/>
    <d v="2023-05-03T00:00:00"/>
    <n v="0.30527628395158701"/>
  </r>
  <r>
    <s v="fjhbimle"/>
    <x v="17"/>
    <x v="15"/>
    <d v="2022-10-04T00:00:00"/>
    <n v="4"/>
    <n v="0.86036052556079601"/>
    <d v="2023-02-11T00:00:00"/>
    <n v="0.75556235613803402"/>
  </r>
  <r>
    <s v="fkgjitio"/>
    <x v="8"/>
    <x v="7"/>
    <d v="2021-11-03T00:00:00"/>
    <n v="3"/>
    <n v="0.89411437906362101"/>
    <d v="2023-01-25T00:00:00"/>
    <n v="0.15236785201696099"/>
  </r>
  <r>
    <s v="frlnnmpc"/>
    <x v="18"/>
    <x v="14"/>
    <d v="2022-01-18T00:00:00"/>
    <n v="10"/>
    <n v="0.93792316902615502"/>
    <d v="2023-05-15T00:00:00"/>
    <n v="0.45551581516099299"/>
  </r>
  <r>
    <s v="fucpzbpk"/>
    <x v="1"/>
    <x v="1"/>
    <d v="2022-12-03T00:00:00"/>
    <n v="4"/>
    <n v="0.70777097045034598"/>
    <d v="2023-02-12T00:00:00"/>
    <n v="0.29010240599643"/>
  </r>
  <r>
    <s v="fzpkolfu"/>
    <x v="18"/>
    <x v="14"/>
    <d v="2021-04-29T00:00:00"/>
    <n v="10"/>
    <n v="0.32809052787687998"/>
    <d v="2023-05-12T00:00:00"/>
    <n v="0.53620178529362506"/>
  </r>
  <r>
    <s v="gcndrwci"/>
    <x v="1"/>
    <x v="1"/>
    <d v="2022-12-26T00:00:00"/>
    <n v="10"/>
    <n v="0.20148931810460499"/>
    <d v="2023-04-11T00:00:00"/>
    <n v="0.37346939187061601"/>
  </r>
  <r>
    <s v="gfiuzniq"/>
    <x v="10"/>
    <x v="9"/>
    <d v="2022-05-27T00:00:00"/>
    <n v="6"/>
    <n v="3.5993791246495099E-2"/>
    <d v="2023-02-28T00:00:00"/>
    <n v="0.97861539568179701"/>
  </r>
  <r>
    <s v="giuqiukz"/>
    <x v="0"/>
    <x v="0"/>
    <d v="2022-08-22T00:00:00"/>
    <n v="1"/>
    <n v="0.71704537744139196"/>
    <d v="2023-04-06T00:00:00"/>
    <n v="0.16233553287650401"/>
  </r>
  <r>
    <s v="gnghjpok"/>
    <x v="12"/>
    <x v="11"/>
    <d v="2021-05-22T00:00:00"/>
    <n v="9"/>
    <n v="0.71155870482197403"/>
    <d v="2023-04-29T00:00:00"/>
    <n v="0.15390650537949099"/>
  </r>
  <r>
    <s v="goxmkirb"/>
    <x v="8"/>
    <x v="7"/>
    <d v="2021-03-19T00:00:00"/>
    <n v="6"/>
    <n v="6.4033223650055093E-2"/>
    <d v="2023-03-19T00:00:00"/>
    <n v="4.2104998611888203E-3"/>
  </r>
  <r>
    <s v="gsarsxnf"/>
    <x v="11"/>
    <x v="10"/>
    <d v="2022-06-13T00:00:00"/>
    <n v="7"/>
    <n v="0.97988976578176401"/>
    <d v="2023-05-05T00:00:00"/>
    <n v="4.3763329833777703E-2"/>
  </r>
  <r>
    <s v="hafqyymf"/>
    <x v="7"/>
    <x v="6"/>
    <d v="2021-05-24T00:00:00"/>
    <n v="10"/>
    <n v="0.702645841021446"/>
    <d v="2023-01-02T00:00:00"/>
    <n v="0.369783832169231"/>
  </r>
  <r>
    <s v="hdpggnqd"/>
    <x v="5"/>
    <x v="4"/>
    <d v="2021-11-02T00:00:00"/>
    <n v="3"/>
    <n v="6.7860349366877903E-2"/>
    <d v="2023-04-10T00:00:00"/>
    <n v="0.67274821533457596"/>
  </r>
  <r>
    <s v="hdslpwul"/>
    <x v="13"/>
    <x v="12"/>
    <d v="2021-12-30T00:00:00"/>
    <n v="9"/>
    <n v="0.407593318710052"/>
    <d v="2023-03-03T00:00:00"/>
    <n v="0.63816582309695902"/>
  </r>
  <r>
    <s v="heuzjzpi"/>
    <x v="15"/>
    <x v="14"/>
    <d v="2021-06-14T00:00:00"/>
    <n v="4"/>
    <n v="0.52920695915069904"/>
    <d v="2023-02-19T00:00:00"/>
    <n v="0.13238552807963799"/>
  </r>
  <r>
    <s v="hfdavabb"/>
    <x v="3"/>
    <x v="2"/>
    <d v="2021-05-27T00:00:00"/>
    <n v="1"/>
    <n v="0.83003541427247696"/>
    <d v="2023-02-08T00:00:00"/>
    <n v="0.52621974753425005"/>
  </r>
  <r>
    <s v="hfjghpbq"/>
    <x v="3"/>
    <x v="2"/>
    <d v="2021-07-05T00:00:00"/>
    <n v="9"/>
    <n v="0.13503720101241901"/>
    <d v="2023-04-01T00:00:00"/>
    <n v="0.85749627053317901"/>
  </r>
  <r>
    <s v="hflsqchs"/>
    <x v="13"/>
    <x v="12"/>
    <d v="2022-04-29T00:00:00"/>
    <n v="2"/>
    <n v="0.18457397753690899"/>
    <d v="2023-03-19T00:00:00"/>
    <n v="0.74032989684219797"/>
  </r>
  <r>
    <s v="hfwtmipz"/>
    <x v="5"/>
    <x v="4"/>
    <d v="2022-09-12T00:00:00"/>
    <n v="7"/>
    <n v="1.4827494446379701E-2"/>
    <d v="2023-02-21T00:00:00"/>
    <n v="0.41833053891377597"/>
  </r>
  <r>
    <s v="hkesgmfj"/>
    <x v="6"/>
    <x v="5"/>
    <d v="2021-03-23T00:00:00"/>
    <n v="4"/>
    <n v="0.27577765609607802"/>
    <d v="2023-05-25T00:00:00"/>
    <n v="0.84349820990746505"/>
  </r>
  <r>
    <s v="hmtiybmi"/>
    <x v="10"/>
    <x v="9"/>
    <d v="2022-04-16T00:00:00"/>
    <n v="2"/>
    <n v="1.4798370860461801E-2"/>
    <d v="2023-03-26T00:00:00"/>
    <n v="0.65581817056759795"/>
  </r>
  <r>
    <s v="hnmvqkxv"/>
    <x v="16"/>
    <x v="11"/>
    <d v="2021-08-12T00:00:00"/>
    <n v="4"/>
    <n v="0.71929697815108395"/>
    <d v="2023-04-13T00:00:00"/>
    <n v="5.4091466872212501E-2"/>
  </r>
  <r>
    <s v="hpvfzslv"/>
    <x v="8"/>
    <x v="7"/>
    <d v="2022-12-27T00:00:00"/>
    <n v="6"/>
    <n v="0.45894107528788403"/>
    <d v="2023-01-26T00:00:00"/>
    <n v="0.64879966285478297"/>
  </r>
  <r>
    <s v="hrfilyua"/>
    <x v="19"/>
    <x v="16"/>
    <d v="2021-06-09T00:00:00"/>
    <n v="6"/>
    <n v="0.75369284563293804"/>
    <d v="2023-03-15T00:00:00"/>
    <n v="0.95310350121023102"/>
  </r>
  <r>
    <s v="hutszssu"/>
    <x v="9"/>
    <x v="8"/>
    <d v="2021-04-29T00:00:00"/>
    <n v="7"/>
    <n v="0.73835370024837998"/>
    <d v="2023-04-04T00:00:00"/>
    <n v="0.10264222958663"/>
  </r>
  <r>
    <s v="iagrfath"/>
    <x v="1"/>
    <x v="1"/>
    <d v="2022-10-26T00:00:00"/>
    <n v="8"/>
    <n v="0.585256316656942"/>
    <d v="2023-04-25T00:00:00"/>
    <n v="0.63534355964006295"/>
  </r>
  <r>
    <s v="icbmbfqb"/>
    <x v="14"/>
    <x v="13"/>
    <d v="2021-05-24T00:00:00"/>
    <n v="9"/>
    <n v="0.87646719833682096"/>
    <d v="2023-01-31T00:00:00"/>
    <n v="0.32932752883912297"/>
  </r>
  <r>
    <s v="icgddrqk"/>
    <x v="8"/>
    <x v="7"/>
    <d v="2022-07-31T00:00:00"/>
    <n v="5"/>
    <n v="0.68720157697523698"/>
    <d v="2023-05-08T00:00:00"/>
    <n v="0.79990973215818495"/>
  </r>
  <r>
    <s v="ifomvwpk"/>
    <x v="6"/>
    <x v="5"/>
    <d v="2021-05-31T00:00:00"/>
    <n v="1"/>
    <n v="0.48588703608226103"/>
    <d v="2023-04-19T00:00:00"/>
    <n v="0.45518918214522902"/>
  </r>
  <r>
    <s v="ifskxsgr"/>
    <x v="16"/>
    <x v="11"/>
    <d v="2022-04-08T00:00:00"/>
    <n v="2"/>
    <n v="0.68555193640676504"/>
    <d v="2023-03-29T00:00:00"/>
    <n v="0.40035912772023502"/>
  </r>
  <r>
    <s v="ivnpgban"/>
    <x v="14"/>
    <x v="13"/>
    <d v="2022-04-28T00:00:00"/>
    <n v="1"/>
    <n v="0.574831092396204"/>
    <d v="2023-01-10T00:00:00"/>
    <n v="0.14703843884491"/>
  </r>
  <r>
    <s v="iztdnkqz"/>
    <x v="18"/>
    <x v="14"/>
    <d v="2022-08-27T00:00:00"/>
    <n v="4"/>
    <n v="0.89057060464664195"/>
    <d v="2023-03-19T00:00:00"/>
    <n v="0.24766978894018499"/>
  </r>
  <r>
    <s v="jarhgmub"/>
    <x v="0"/>
    <x v="0"/>
    <d v="2022-11-24T00:00:00"/>
    <n v="4"/>
    <n v="0.64606533640427699"/>
    <d v="2023-02-20T00:00:00"/>
    <n v="0.75502767909149604"/>
  </r>
  <r>
    <s v="jgrpnvil"/>
    <x v="19"/>
    <x v="16"/>
    <d v="2022-01-13T00:00:00"/>
    <n v="5"/>
    <n v="2.4408043245797401E-2"/>
    <d v="2023-04-25T00:00:00"/>
    <n v="0.11842008103757801"/>
  </r>
  <r>
    <s v="jhrvrggo"/>
    <x v="15"/>
    <x v="14"/>
    <d v="2022-07-10T00:00:00"/>
    <n v="1"/>
    <n v="0.144587962809021"/>
    <d v="2023-02-17T00:00:00"/>
    <n v="0.22337306376263399"/>
  </r>
  <r>
    <s v="jszxcuxx"/>
    <x v="11"/>
    <x v="10"/>
    <d v="2022-08-13T00:00:00"/>
    <n v="7"/>
    <n v="1.31744392227479E-2"/>
    <d v="2023-04-14T00:00:00"/>
    <n v="0.97185682841004495"/>
  </r>
  <r>
    <s v="jvcllvko"/>
    <x v="4"/>
    <x v="3"/>
    <d v="2022-03-24T00:00:00"/>
    <n v="4"/>
    <n v="0.81530857906975795"/>
    <d v="2023-01-28T00:00:00"/>
    <n v="0.48260987316073201"/>
  </r>
  <r>
    <s v="jxgqnvpx"/>
    <x v="3"/>
    <x v="2"/>
    <d v="2021-12-24T00:00:00"/>
    <n v="6"/>
    <n v="0.15491081045699601"/>
    <d v="2023-05-18T00:00:00"/>
    <n v="0.76802453424894601"/>
  </r>
  <r>
    <s v="jyrrbwon"/>
    <x v="14"/>
    <x v="13"/>
    <d v="2022-05-25T00:00:00"/>
    <n v="1"/>
    <n v="0.269555056043635"/>
    <d v="2023-03-15T00:00:00"/>
    <n v="0.122182361751799"/>
  </r>
  <r>
    <s v="kcqqvvon"/>
    <x v="2"/>
    <x v="0"/>
    <d v="2022-08-21T00:00:00"/>
    <n v="3"/>
    <n v="0.71512622981990404"/>
    <d v="2023-04-07T00:00:00"/>
    <n v="2.82332058926804E-3"/>
  </r>
  <r>
    <s v="kdxpqsjj"/>
    <x v="8"/>
    <x v="7"/>
    <d v="2021-08-15T00:00:00"/>
    <n v="5"/>
    <n v="0.517478802978105"/>
    <d v="2023-03-06T00:00:00"/>
    <n v="0.194941670945359"/>
  </r>
  <r>
    <s v="kltxxoqv"/>
    <x v="14"/>
    <x v="13"/>
    <d v="2021-03-15T00:00:00"/>
    <n v="3"/>
    <n v="0.98933192835650696"/>
    <d v="2023-01-26T00:00:00"/>
    <n v="0.116747383128981"/>
  </r>
  <r>
    <s v="kmlcsefq"/>
    <x v="17"/>
    <x v="15"/>
    <d v="2022-10-18T00:00:00"/>
    <n v="5"/>
    <n v="0.32415684712172899"/>
    <d v="2023-05-05T00:00:00"/>
    <n v="0.28398523541759901"/>
  </r>
  <r>
    <s v="knifvikn"/>
    <x v="0"/>
    <x v="0"/>
    <d v="2021-05-27T00:00:00"/>
    <n v="6"/>
    <n v="0.64559425958074801"/>
    <d v="2023-05-11T00:00:00"/>
    <n v="0.74976354481356899"/>
  </r>
  <r>
    <s v="knrhgdai"/>
    <x v="19"/>
    <x v="16"/>
    <d v="2022-03-23T00:00:00"/>
    <n v="10"/>
    <n v="0.13502577444900801"/>
    <d v="2023-05-04T00:00:00"/>
    <n v="9.7289928257875094E-2"/>
  </r>
  <r>
    <s v="koqfbdwf"/>
    <x v="10"/>
    <x v="9"/>
    <d v="2021-06-06T00:00:00"/>
    <n v="8"/>
    <n v="0.74864767306151003"/>
    <d v="2023-05-29T00:00:00"/>
    <n v="0.91487830622236999"/>
  </r>
  <r>
    <s v="kpoujdyl"/>
    <x v="12"/>
    <x v="11"/>
    <d v="2022-05-22T00:00:00"/>
    <n v="1"/>
    <n v="0.105161391848884"/>
    <d v="2023-05-08T00:00:00"/>
    <n v="0.22690729464404399"/>
  </r>
  <r>
    <s v="kqbdcljv"/>
    <x v="20"/>
    <x v="3"/>
    <d v="2022-06-30T00:00:00"/>
    <n v="6"/>
    <n v="0.11408685507641"/>
    <d v="2023-01-28T00:00:00"/>
    <n v="0.33571676903915298"/>
  </r>
  <r>
    <s v="krqkwnaw"/>
    <x v="15"/>
    <x v="14"/>
    <d v="2022-02-08T00:00:00"/>
    <n v="1"/>
    <n v="0.58372843681935904"/>
    <d v="2023-03-12T00:00:00"/>
    <n v="0.38186645762982302"/>
  </r>
  <r>
    <s v="kwbxqlin"/>
    <x v="20"/>
    <x v="3"/>
    <d v="2022-06-09T00:00:00"/>
    <n v="6"/>
    <n v="1.6069181318315098E-2"/>
    <d v="2023-01-02T00:00:00"/>
    <n v="0.93551003990677095"/>
  </r>
  <r>
    <s v="kweyaukr"/>
    <x v="19"/>
    <x v="16"/>
    <d v="2021-12-14T00:00:00"/>
    <n v="7"/>
    <n v="0.77483286137645402"/>
    <d v="2023-02-20T00:00:00"/>
    <n v="0.83972936204120796"/>
  </r>
  <r>
    <s v="ldjllwvy"/>
    <x v="8"/>
    <x v="7"/>
    <d v="2021-04-18T00:00:00"/>
    <n v="6"/>
    <n v="0.83415711448827101"/>
    <d v="2023-04-16T00:00:00"/>
    <n v="0.73754903864989096"/>
  </r>
  <r>
    <s v="lenpuaop"/>
    <x v="2"/>
    <x v="0"/>
    <d v="2021-03-30T00:00:00"/>
    <n v="7"/>
    <n v="0.27349998025771599"/>
    <d v="2023-05-10T00:00:00"/>
    <n v="0.398707058551939"/>
  </r>
  <r>
    <s v="lkxgzzvq"/>
    <x v="4"/>
    <x v="3"/>
    <d v="2021-03-24T00:00:00"/>
    <n v="10"/>
    <n v="0.17894362318854701"/>
    <d v="2023-04-10T00:00:00"/>
    <n v="0.27983535659688702"/>
  </r>
  <r>
    <s v="loffykcg"/>
    <x v="0"/>
    <x v="0"/>
    <d v="2021-01-10T00:00:00"/>
    <n v="2"/>
    <n v="0.90504227111458202"/>
    <d v="2023-01-31T00:00:00"/>
    <n v="0.45883084719257899"/>
  </r>
  <r>
    <s v="lpzjhtkm"/>
    <x v="14"/>
    <x v="13"/>
    <d v="2021-12-27T00:00:00"/>
    <n v="4"/>
    <n v="3.6105377236760302E-3"/>
    <d v="2023-03-08T00:00:00"/>
    <n v="0.430410454177235"/>
  </r>
  <r>
    <s v="maizvkuo"/>
    <x v="18"/>
    <x v="14"/>
    <d v="2021-06-19T00:00:00"/>
    <n v="2"/>
    <n v="0.256532208615462"/>
    <d v="2023-02-18T00:00:00"/>
    <n v="0.25683090454434099"/>
  </r>
  <r>
    <s v="mfdlyjqb"/>
    <x v="19"/>
    <x v="16"/>
    <d v="2021-02-23T00:00:00"/>
    <n v="5"/>
    <n v="0.70021844930653598"/>
    <d v="2023-03-23T00:00:00"/>
    <n v="0.61187665279577597"/>
  </r>
  <r>
    <s v="mfwvjgje"/>
    <x v="4"/>
    <x v="3"/>
    <d v="2021-02-08T00:00:00"/>
    <n v="2"/>
    <n v="0.86236623667253698"/>
    <d v="2023-03-30T00:00:00"/>
    <n v="0.56413054876588398"/>
  </r>
  <r>
    <s v="mghfyjbr"/>
    <x v="20"/>
    <x v="3"/>
    <d v="2022-08-01T00:00:00"/>
    <n v="5"/>
    <n v="0.309379274915278"/>
    <d v="2023-03-30T00:00:00"/>
    <n v="6.4512653240185102E-3"/>
  </r>
  <r>
    <s v="mjbwcafl"/>
    <x v="19"/>
    <x v="16"/>
    <d v="2021-07-19T00:00:00"/>
    <n v="7"/>
    <n v="0.55211790295911001"/>
    <d v="2023-03-26T00:00:00"/>
    <n v="0.33871055216854301"/>
  </r>
  <r>
    <s v="mjyuxzvj"/>
    <x v="20"/>
    <x v="3"/>
    <d v="2021-10-22T00:00:00"/>
    <n v="4"/>
    <n v="0.20150989296011099"/>
    <d v="2023-05-21T00:00:00"/>
    <n v="0.23936851527945999"/>
  </r>
  <r>
    <s v="mkxkerbr"/>
    <x v="2"/>
    <x v="0"/>
    <d v="2021-12-04T00:00:00"/>
    <n v="5"/>
    <n v="0.18484009932934201"/>
    <d v="2023-01-26T00:00:00"/>
    <n v="0.17511595791935999"/>
  </r>
  <r>
    <s v="mxmztjnk"/>
    <x v="7"/>
    <x v="6"/>
    <d v="2022-11-07T00:00:00"/>
    <n v="6"/>
    <n v="0.34955930087119302"/>
    <d v="2023-01-03T00:00:00"/>
    <n v="0.53327527116873796"/>
  </r>
  <r>
    <s v="mxpzparg"/>
    <x v="19"/>
    <x v="16"/>
    <d v="2021-09-29T00:00:00"/>
    <n v="3"/>
    <n v="0.93189165277683395"/>
    <d v="2023-02-05T00:00:00"/>
    <n v="2.43785689040747E-2"/>
  </r>
  <r>
    <s v="nheepbxg"/>
    <x v="17"/>
    <x v="15"/>
    <d v="2022-12-26T00:00:00"/>
    <n v="10"/>
    <n v="0.68735083469695002"/>
    <d v="2023-03-05T00:00:00"/>
    <n v="0.41787841201432302"/>
  </r>
  <r>
    <s v="njxhycea"/>
    <x v="9"/>
    <x v="8"/>
    <d v="2022-02-13T00:00:00"/>
    <n v="5"/>
    <n v="0.17493546348643599"/>
    <d v="2023-03-16T00:00:00"/>
    <n v="0.83666855090333903"/>
  </r>
  <r>
    <s v="nklszbdc"/>
    <x v="19"/>
    <x v="16"/>
    <d v="2022-04-08T00:00:00"/>
    <n v="7"/>
    <n v="0.75215132834364595"/>
    <d v="2023-05-05T00:00:00"/>
    <n v="2.6168363795351798E-2"/>
  </r>
  <r>
    <s v="nqgoiuik"/>
    <x v="9"/>
    <x v="8"/>
    <d v="2021-03-08T00:00:00"/>
    <n v="1"/>
    <n v="0.30953917056170199"/>
    <d v="2023-05-12T00:00:00"/>
    <n v="0.66043948995340296"/>
  </r>
  <r>
    <s v="nriklgrf"/>
    <x v="15"/>
    <x v="14"/>
    <d v="2021-08-14T00:00:00"/>
    <n v="10"/>
    <n v="0.62147829765565299"/>
    <d v="2023-04-29T00:00:00"/>
    <n v="0.44466276095616802"/>
  </r>
  <r>
    <s v="nuleyiit"/>
    <x v="14"/>
    <x v="13"/>
    <d v="2022-12-08T00:00:00"/>
    <n v="7"/>
    <n v="0.60752716500644899"/>
    <d v="2023-04-13T00:00:00"/>
    <n v="0.90286839870973001"/>
  </r>
  <r>
    <s v="nzyednpn"/>
    <x v="11"/>
    <x v="10"/>
    <d v="2022-09-06T00:00:00"/>
    <n v="10"/>
    <n v="8.0126723415399101E-2"/>
    <d v="2023-02-16T00:00:00"/>
    <n v="0.51635999068168204"/>
  </r>
  <r>
    <s v="ogszgnpm"/>
    <x v="4"/>
    <x v="3"/>
    <d v="2022-06-04T00:00:00"/>
    <n v="1"/>
    <n v="0.165768699711766"/>
    <d v="2023-02-01T00:00:00"/>
    <n v="0.35219920122081899"/>
  </r>
  <r>
    <s v="ohtzxhrm"/>
    <x v="14"/>
    <x v="13"/>
    <d v="2021-03-21T00:00:00"/>
    <n v="7"/>
    <n v="0.95038285910889397"/>
    <d v="2023-05-21T00:00:00"/>
    <n v="0.493774747227402"/>
  </r>
  <r>
    <s v="olnjegug"/>
    <x v="3"/>
    <x v="2"/>
    <d v="2022-05-28T00:00:00"/>
    <n v="8"/>
    <n v="0.34324624551472199"/>
    <d v="2023-02-23T00:00:00"/>
    <n v="5.5941217861464797E-2"/>
  </r>
  <r>
    <s v="oplgqwal"/>
    <x v="14"/>
    <x v="13"/>
    <d v="2022-12-12T00:00:00"/>
    <n v="9"/>
    <n v="0.88394112549340798"/>
    <d v="2023-01-23T00:00:00"/>
    <n v="0.170650898099275"/>
  </r>
  <r>
    <s v="orgnwenh"/>
    <x v="1"/>
    <x v="1"/>
    <d v="2022-01-17T00:00:00"/>
    <n v="2"/>
    <n v="0.19124266932346201"/>
    <d v="2023-01-27T00:00:00"/>
    <n v="0.44988838372928502"/>
  </r>
  <r>
    <s v="ossshndu"/>
    <x v="10"/>
    <x v="9"/>
    <d v="2021-05-08T00:00:00"/>
    <n v="9"/>
    <n v="0.70237024955138705"/>
    <d v="2023-04-23T00:00:00"/>
    <n v="0.23474526869976101"/>
  </r>
  <r>
    <s v="pberstsl"/>
    <x v="5"/>
    <x v="4"/>
    <d v="2021-09-25T00:00:00"/>
    <n v="1"/>
    <n v="0.47664293083306503"/>
    <d v="2023-03-13T00:00:00"/>
    <n v="0.23032087534575099"/>
  </r>
  <r>
    <s v="pcifviip"/>
    <x v="15"/>
    <x v="14"/>
    <d v="2022-01-20T00:00:00"/>
    <n v="8"/>
    <n v="0.52894618812607497"/>
    <d v="2023-03-13T00:00:00"/>
    <n v="0.14894391596640999"/>
  </r>
  <r>
    <s v="pnsxdhqo"/>
    <x v="19"/>
    <x v="16"/>
    <d v="2022-02-03T00:00:00"/>
    <n v="1"/>
    <n v="0.90771622925444195"/>
    <d v="2023-01-30T00:00:00"/>
    <n v="0.76439006848756197"/>
  </r>
  <r>
    <s v="poohpdwc"/>
    <x v="13"/>
    <x v="12"/>
    <d v="2022-03-05T00:00:00"/>
    <n v="4"/>
    <n v="0.93532778717298004"/>
    <d v="2023-01-07T00:00:00"/>
    <n v="2.9378328012187802E-2"/>
  </r>
  <r>
    <s v="pswtoazn"/>
    <x v="0"/>
    <x v="0"/>
    <d v="2022-08-28T00:00:00"/>
    <n v="6"/>
    <n v="0.103932010083317"/>
    <d v="2023-02-28T00:00:00"/>
    <n v="6.0761804468123501E-5"/>
  </r>
  <r>
    <s v="pxkjcmpp"/>
    <x v="2"/>
    <x v="0"/>
    <d v="2022-01-28T00:00:00"/>
    <n v="3"/>
    <n v="0.33696098865178298"/>
    <d v="2023-04-18T00:00:00"/>
    <n v="0.68587611661549097"/>
  </r>
  <r>
    <s v="pxzcvvvv"/>
    <x v="11"/>
    <x v="10"/>
    <d v="2022-06-21T00:00:00"/>
    <n v="9"/>
    <n v="0.32825674154548301"/>
    <d v="2023-02-24T00:00:00"/>
    <n v="0.48045519677837101"/>
  </r>
  <r>
    <s v="pyljmfku"/>
    <x v="3"/>
    <x v="2"/>
    <d v="2022-11-14T00:00:00"/>
    <n v="10"/>
    <n v="0.47307005712237998"/>
    <d v="2023-01-11T00:00:00"/>
    <n v="0.10169187940690801"/>
  </r>
  <r>
    <s v="pysaclod"/>
    <x v="8"/>
    <x v="7"/>
    <d v="2021-06-24T00:00:00"/>
    <n v="9"/>
    <n v="0.71248835178386805"/>
    <d v="2023-02-18T00:00:00"/>
    <n v="0.42914106932160101"/>
  </r>
  <r>
    <s v="pywztrno"/>
    <x v="6"/>
    <x v="5"/>
    <d v="2022-08-19T00:00:00"/>
    <n v="1"/>
    <n v="0.87147093954098998"/>
    <d v="2023-02-10T00:00:00"/>
    <n v="0.35443622359295701"/>
  </r>
  <r>
    <s v="qdqbwhng"/>
    <x v="1"/>
    <x v="1"/>
    <d v="2021-03-17T00:00:00"/>
    <n v="6"/>
    <n v="5.4464754581670202E-2"/>
    <d v="2023-03-28T00:00:00"/>
    <n v="0.49434155447053002"/>
  </r>
  <r>
    <s v="qexyofhb"/>
    <x v="19"/>
    <x v="16"/>
    <d v="2022-11-21T00:00:00"/>
    <n v="8"/>
    <n v="0.46539821567982897"/>
    <d v="2023-04-22T00:00:00"/>
    <n v="0.39766402949830199"/>
  </r>
  <r>
    <s v="qhprzdnb"/>
    <x v="14"/>
    <x v="13"/>
    <d v="2021-07-03T00:00:00"/>
    <n v="2"/>
    <n v="0.41769016811982401"/>
    <d v="2023-03-05T00:00:00"/>
    <n v="0.67060305745283799"/>
  </r>
  <r>
    <s v="qklyndfp"/>
    <x v="11"/>
    <x v="10"/>
    <d v="2022-04-10T00:00:00"/>
    <n v="5"/>
    <n v="0.90898321519765801"/>
    <d v="2023-05-21T00:00:00"/>
    <n v="0.71076510162728801"/>
  </r>
  <r>
    <s v="qonnwndv"/>
    <x v="19"/>
    <x v="16"/>
    <d v="2021-04-11T00:00:00"/>
    <n v="2"/>
    <n v="2.2277472344418001E-2"/>
    <d v="2023-05-07T00:00:00"/>
    <n v="0.31572522679826798"/>
  </r>
  <r>
    <s v="rcmrnpig"/>
    <x v="2"/>
    <x v="0"/>
    <d v="2021-01-27T00:00:00"/>
    <n v="10"/>
    <n v="4.84656763549157E-2"/>
    <d v="2023-04-25T00:00:00"/>
    <n v="0.76568330987062005"/>
  </r>
  <r>
    <s v="rfngluke"/>
    <x v="17"/>
    <x v="15"/>
    <d v="2022-02-24T00:00:00"/>
    <n v="10"/>
    <n v="0.29076178482231801"/>
    <d v="2023-01-19T00:00:00"/>
    <n v="0.33143123502147698"/>
  </r>
  <r>
    <s v="rgbcrwet"/>
    <x v="18"/>
    <x v="14"/>
    <d v="2021-07-21T00:00:00"/>
    <n v="6"/>
    <n v="0.74483031602755301"/>
    <d v="2023-05-21T00:00:00"/>
    <n v="0.45618689536000101"/>
  </r>
  <r>
    <s v="rkupdsbn"/>
    <x v="7"/>
    <x v="6"/>
    <d v="2021-02-17T00:00:00"/>
    <n v="2"/>
    <n v="0.55145811024395297"/>
    <d v="2023-01-12T00:00:00"/>
    <n v="0.43942741221319298"/>
  </r>
  <r>
    <s v="rxbzlipl"/>
    <x v="8"/>
    <x v="7"/>
    <d v="2022-06-03T00:00:00"/>
    <n v="2"/>
    <n v="0.75204781971908696"/>
    <d v="2023-03-31T00:00:00"/>
    <n v="0.46296822834011098"/>
  </r>
  <r>
    <s v="rypujago"/>
    <x v="15"/>
    <x v="14"/>
    <d v="2021-01-29T00:00:00"/>
    <n v="7"/>
    <n v="0.47691846634392299"/>
    <d v="2023-02-24T00:00:00"/>
    <n v="0.46204966570717498"/>
  </r>
  <r>
    <s v="scoljxeg"/>
    <x v="20"/>
    <x v="3"/>
    <d v="2021-09-03T00:00:00"/>
    <n v="9"/>
    <n v="0.351563700735118"/>
    <d v="2023-04-07T00:00:00"/>
    <n v="0.95442216883254405"/>
  </r>
  <r>
    <s v="seaeoiib"/>
    <x v="8"/>
    <x v="7"/>
    <d v="2022-11-13T00:00:00"/>
    <n v="3"/>
    <n v="0.708252824575899"/>
    <d v="2023-05-01T00:00:00"/>
    <n v="0.25743349659995701"/>
  </r>
  <r>
    <s v="sejklwar"/>
    <x v="13"/>
    <x v="12"/>
    <d v="2021-12-05T00:00:00"/>
    <n v="6"/>
    <n v="8.1168066351901699E-2"/>
    <d v="2023-03-19T00:00:00"/>
    <n v="0.51544985308443603"/>
  </r>
  <r>
    <s v="seszlhqz"/>
    <x v="17"/>
    <x v="15"/>
    <d v="2022-09-11T00:00:00"/>
    <n v="3"/>
    <n v="0.44727279397540398"/>
    <d v="2023-02-04T00:00:00"/>
    <n v="0.72124646028638995"/>
  </r>
  <r>
    <s v="sgdkuekd"/>
    <x v="7"/>
    <x v="6"/>
    <d v="2022-05-09T00:00:00"/>
    <n v="5"/>
    <n v="0.55996144918041602"/>
    <d v="2023-02-25T00:00:00"/>
    <n v="4.0845294204603297E-3"/>
  </r>
  <r>
    <s v="slqawwyu"/>
    <x v="20"/>
    <x v="3"/>
    <d v="2021-11-21T00:00:00"/>
    <n v="4"/>
    <n v="0.56230632063577901"/>
    <d v="2023-05-14T00:00:00"/>
    <n v="0.68743114384612203"/>
  </r>
  <r>
    <s v="stsjuvrd"/>
    <x v="7"/>
    <x v="6"/>
    <d v="2022-07-27T00:00:00"/>
    <n v="5"/>
    <n v="0.72618042932337601"/>
    <d v="2023-03-28T00:00:00"/>
    <n v="0.31138195774945998"/>
  </r>
  <r>
    <s v="tazccemg"/>
    <x v="16"/>
    <x v="11"/>
    <d v="2021-01-10T00:00:00"/>
    <n v="3"/>
    <n v="0.113699112632604"/>
    <d v="2023-03-27T00:00:00"/>
    <n v="3.0869795040312301E-2"/>
  </r>
  <r>
    <s v="tgayvhvz"/>
    <x v="20"/>
    <x v="3"/>
    <d v="2022-09-18T00:00:00"/>
    <n v="1"/>
    <n v="8.6409222229514596E-2"/>
    <d v="2023-01-19T00:00:00"/>
    <n v="0.720395287309052"/>
  </r>
  <r>
    <s v="tiebtpqq"/>
    <x v="16"/>
    <x v="11"/>
    <d v="2021-10-15T00:00:00"/>
    <n v="4"/>
    <n v="0.573839853564304"/>
    <d v="2023-05-04T00:00:00"/>
    <n v="0.74143260510805697"/>
  </r>
  <r>
    <s v="tjtyuhoi"/>
    <x v="6"/>
    <x v="5"/>
    <d v="2022-06-22T00:00:00"/>
    <n v="10"/>
    <n v="5.8312359538940997E-2"/>
    <d v="2023-04-25T00:00:00"/>
    <n v="0.50418526458823998"/>
  </r>
  <r>
    <s v="tsmbtvip"/>
    <x v="13"/>
    <x v="12"/>
    <d v="2021-10-11T00:00:00"/>
    <n v="7"/>
    <n v="0.717702757066082"/>
    <d v="2023-01-10T00:00:00"/>
    <n v="0.1182538345041"/>
  </r>
  <r>
    <s v="tsrjnkjg"/>
    <x v="5"/>
    <x v="4"/>
    <d v="2021-12-04T00:00:00"/>
    <n v="1"/>
    <n v="0.29181649358212502"/>
    <d v="2023-01-18T00:00:00"/>
    <n v="0.59525600260086198"/>
  </r>
  <r>
    <s v="ttxgpfqy"/>
    <x v="14"/>
    <x v="13"/>
    <d v="2022-02-24T00:00:00"/>
    <n v="7"/>
    <n v="0.41475447056245102"/>
    <d v="2023-03-07T00:00:00"/>
    <n v="0.41302964862980401"/>
  </r>
  <r>
    <s v="tuneagik"/>
    <x v="1"/>
    <x v="1"/>
    <d v="2022-07-24T00:00:00"/>
    <n v="3"/>
    <n v="0.273622029983696"/>
    <d v="2023-04-10T00:00:00"/>
    <n v="0.28004873586635498"/>
  </r>
  <r>
    <s v="twxakkhn"/>
    <x v="19"/>
    <x v="16"/>
    <d v="2022-10-23T00:00:00"/>
    <n v="5"/>
    <n v="0.36944159210677702"/>
    <d v="2023-01-18T00:00:00"/>
    <n v="0.83598479662907399"/>
  </r>
  <r>
    <s v="txuwmhfn"/>
    <x v="19"/>
    <x v="16"/>
    <d v="2022-02-15T00:00:00"/>
    <n v="1"/>
    <n v="0.58311714000128001"/>
    <d v="2023-03-01T00:00:00"/>
    <n v="0.132094119226041"/>
  </r>
  <r>
    <s v="tyoavqhc"/>
    <x v="8"/>
    <x v="7"/>
    <d v="2021-04-26T00:00:00"/>
    <n v="6"/>
    <n v="0.65300297719761102"/>
    <d v="2023-03-28T00:00:00"/>
    <n v="0.67542025364515701"/>
  </r>
  <r>
    <s v="ucjtvrzo"/>
    <x v="16"/>
    <x v="11"/>
    <d v="2022-05-03T00:00:00"/>
    <n v="8"/>
    <n v="0.29111039384551202"/>
    <d v="2023-03-18T00:00:00"/>
    <n v="0.67736656660512595"/>
  </r>
  <r>
    <s v="ueoaufxg"/>
    <x v="16"/>
    <x v="11"/>
    <d v="2021-02-13T00:00:00"/>
    <n v="4"/>
    <n v="0.112536236136402"/>
    <d v="2023-05-05T00:00:00"/>
    <n v="0.73892418680528005"/>
  </r>
  <r>
    <s v="ugegxjpi"/>
    <x v="8"/>
    <x v="7"/>
    <d v="2022-01-18T00:00:00"/>
    <n v="9"/>
    <n v="0.15192205963339001"/>
    <d v="2023-03-14T00:00:00"/>
    <n v="0.20150857478536399"/>
  </r>
  <r>
    <s v="uijhzhtp"/>
    <x v="19"/>
    <x v="16"/>
    <d v="2022-09-26T00:00:00"/>
    <n v="2"/>
    <n v="0.28151547287029699"/>
    <d v="2023-02-14T00:00:00"/>
    <n v="0.112845737208008"/>
  </r>
  <r>
    <s v="uiytklhp"/>
    <x v="0"/>
    <x v="0"/>
    <d v="2022-01-19T00:00:00"/>
    <n v="2"/>
    <n v="0.47294292208057698"/>
    <d v="2023-04-07T00:00:00"/>
    <n v="0.79212265204075905"/>
  </r>
  <r>
    <s v="umdvcmek"/>
    <x v="0"/>
    <x v="0"/>
    <d v="2022-02-13T00:00:00"/>
    <n v="2"/>
    <n v="0.95827680251471803"/>
    <d v="2023-03-24T00:00:00"/>
    <n v="0.89660265479322399"/>
  </r>
  <r>
    <s v="unxxstxp"/>
    <x v="9"/>
    <x v="8"/>
    <d v="2022-02-12T00:00:00"/>
    <n v="2"/>
    <n v="0.27963347908695002"/>
    <d v="2023-01-23T00:00:00"/>
    <n v="0.24854191017697499"/>
  </r>
  <r>
    <s v="upcbwvls"/>
    <x v="15"/>
    <x v="14"/>
    <d v="2021-03-02T00:00:00"/>
    <n v="8"/>
    <n v="0.434644149591145"/>
    <d v="2023-01-29T00:00:00"/>
    <n v="0.625342854199327"/>
  </r>
  <r>
    <s v="uvenvheh"/>
    <x v="12"/>
    <x v="11"/>
    <d v="2022-07-03T00:00:00"/>
    <n v="5"/>
    <n v="0.74838580953710099"/>
    <d v="2023-02-23T00:00:00"/>
    <n v="0.56239389347784197"/>
  </r>
  <r>
    <s v="vajwbmmv"/>
    <x v="7"/>
    <x v="6"/>
    <d v="2022-12-21T00:00:00"/>
    <n v="6"/>
    <n v="0.48045901029779903"/>
    <d v="2023-05-18T00:00:00"/>
    <n v="0.433788778732414"/>
  </r>
  <r>
    <s v="vggvbbxh"/>
    <x v="14"/>
    <x v="13"/>
    <d v="2021-06-07T00:00:00"/>
    <n v="7"/>
    <n v="0.98744929724646802"/>
    <d v="2023-05-03T00:00:00"/>
    <n v="0.21163360381443899"/>
  </r>
  <r>
    <s v="vjtxbscg"/>
    <x v="0"/>
    <x v="0"/>
    <d v="2022-05-30T00:00:00"/>
    <n v="3"/>
    <n v="5.2479096578398297E-2"/>
    <d v="2023-05-23T00:00:00"/>
    <n v="5.8390055671951401E-2"/>
  </r>
  <r>
    <s v="vnkvbrpg"/>
    <x v="12"/>
    <x v="11"/>
    <d v="2022-08-28T00:00:00"/>
    <n v="4"/>
    <n v="6.3638338964366797E-2"/>
    <d v="2023-03-29T00:00:00"/>
    <n v="0.82222519151117301"/>
  </r>
  <r>
    <s v="vqkagvwm"/>
    <x v="4"/>
    <x v="3"/>
    <d v="2021-11-15T00:00:00"/>
    <n v="3"/>
    <n v="7.0327700844507193E-2"/>
    <d v="2023-02-17T00:00:00"/>
    <n v="9.4112460113233404E-2"/>
  </r>
  <r>
    <s v="waxzujox"/>
    <x v="18"/>
    <x v="14"/>
    <d v="2022-12-02T00:00:00"/>
    <n v="3"/>
    <n v="0.95057620706778501"/>
    <d v="2023-04-24T00:00:00"/>
    <n v="0.96163422719710601"/>
  </r>
  <r>
    <s v="wfglkcmq"/>
    <x v="19"/>
    <x v="16"/>
    <d v="2022-12-08T00:00:00"/>
    <n v="1"/>
    <n v="0.48177369539871401"/>
    <d v="2023-04-30T00:00:00"/>
    <n v="0.92834498334210402"/>
  </r>
  <r>
    <s v="wgpoqytj"/>
    <x v="13"/>
    <x v="12"/>
    <d v="2021-01-08T00:00:00"/>
    <n v="2"/>
    <n v="0.43098053100217298"/>
    <d v="2023-01-22T00:00:00"/>
    <n v="0.43731221847381901"/>
  </r>
  <r>
    <s v="wgzgfkki"/>
    <x v="5"/>
    <x v="4"/>
    <d v="2021-08-31T00:00:00"/>
    <n v="8"/>
    <n v="0.59735476523394404"/>
    <d v="2023-02-25T00:00:00"/>
    <n v="0.16822758298431501"/>
  </r>
  <r>
    <s v="wiujcxll"/>
    <x v="5"/>
    <x v="4"/>
    <d v="2021-09-10T00:00:00"/>
    <n v="6"/>
    <n v="0.26280269378864801"/>
    <d v="2023-03-29T00:00:00"/>
    <n v="0.14823080489066301"/>
  </r>
  <r>
    <s v="wmesgogf"/>
    <x v="12"/>
    <x v="11"/>
    <d v="2022-08-06T00:00:00"/>
    <n v="4"/>
    <n v="0.90284110874477896"/>
    <d v="2023-03-23T00:00:00"/>
    <n v="0.63507569454438495"/>
  </r>
  <r>
    <s v="wzerurjz"/>
    <x v="3"/>
    <x v="2"/>
    <d v="2021-02-14T00:00:00"/>
    <n v="6"/>
    <n v="0.98199261995326603"/>
    <d v="2023-03-09T00:00:00"/>
    <n v="0.54481123922804697"/>
  </r>
  <r>
    <s v="xbcdvdtp"/>
    <x v="10"/>
    <x v="9"/>
    <d v="2021-02-02T00:00:00"/>
    <n v="3"/>
    <n v="0.84716039463076198"/>
    <d v="2023-05-21T00:00:00"/>
    <n v="1.3086187744415801E-2"/>
  </r>
  <r>
    <s v="xgimgqvp"/>
    <x v="20"/>
    <x v="3"/>
    <d v="2022-10-02T00:00:00"/>
    <n v="5"/>
    <n v="0.30637569785375002"/>
    <d v="2023-03-23T00:00:00"/>
    <n v="1.25503463839893E-3"/>
  </r>
  <r>
    <s v="xgszegxx"/>
    <x v="12"/>
    <x v="11"/>
    <d v="2021-01-15T00:00:00"/>
    <n v="6"/>
    <n v="0.76879912576772802"/>
    <d v="2023-03-21T00:00:00"/>
    <n v="0.86548533755676105"/>
  </r>
  <r>
    <s v="xgxazdwr"/>
    <x v="8"/>
    <x v="7"/>
    <d v="2021-11-14T00:00:00"/>
    <n v="7"/>
    <n v="0.38563992038543599"/>
    <d v="2023-03-19T00:00:00"/>
    <n v="0.508902669316179"/>
  </r>
  <r>
    <s v="xkdlzakx"/>
    <x v="18"/>
    <x v="14"/>
    <d v="2021-04-23T00:00:00"/>
    <n v="8"/>
    <n v="0.85335977277591302"/>
    <d v="2023-04-05T00:00:00"/>
    <n v="0.99207281995433205"/>
  </r>
  <r>
    <s v="xmfevyrg"/>
    <x v="1"/>
    <x v="1"/>
    <d v="2021-04-03T00:00:00"/>
    <n v="5"/>
    <n v="0.28334897654743202"/>
    <d v="2023-02-08T00:00:00"/>
    <n v="0.63454053513977304"/>
  </r>
  <r>
    <s v="xmzhzbvl"/>
    <x v="18"/>
    <x v="14"/>
    <d v="2022-01-11T00:00:00"/>
    <n v="3"/>
    <n v="0.117748642112043"/>
    <d v="2023-05-27T00:00:00"/>
    <n v="0.67092430905617095"/>
  </r>
  <r>
    <s v="xslzwome"/>
    <x v="9"/>
    <x v="8"/>
    <d v="2022-08-17T00:00:00"/>
    <n v="5"/>
    <n v="0.76783916519082696"/>
    <d v="2023-04-05T00:00:00"/>
    <n v="0.24099871039557799"/>
  </r>
  <r>
    <s v="xydeqivj"/>
    <x v="9"/>
    <x v="8"/>
    <d v="2022-07-24T00:00:00"/>
    <n v="2"/>
    <n v="0.14806713315151801"/>
    <d v="2023-05-05T00:00:00"/>
    <n v="0.312315972509696"/>
  </r>
  <r>
    <s v="ybasexlh"/>
    <x v="9"/>
    <x v="8"/>
    <d v="2022-01-16T00:00:00"/>
    <n v="7"/>
    <n v="7.8885651390256904E-3"/>
    <d v="2023-04-21T00:00:00"/>
    <n v="0.42001946730883299"/>
  </r>
  <r>
    <s v="ydcmffnz"/>
    <x v="17"/>
    <x v="15"/>
    <d v="2021-08-08T00:00:00"/>
    <n v="7"/>
    <n v="6.5026558074850402E-2"/>
    <d v="2023-03-20T00:00:00"/>
    <n v="0.566596656084567"/>
  </r>
  <r>
    <s v="yjrqvwdc"/>
    <x v="2"/>
    <x v="0"/>
    <d v="2022-11-18T00:00:00"/>
    <n v="1"/>
    <n v="0.30777843623572698"/>
    <d v="2023-02-06T00:00:00"/>
    <n v="0.172453184843159"/>
  </r>
  <r>
    <s v="ynqvlbrq"/>
    <x v="6"/>
    <x v="5"/>
    <d v="2021-01-18T00:00:00"/>
    <n v="5"/>
    <n v="0.1874453216227"/>
    <d v="2023-02-04T00:00:00"/>
    <n v="0.22911064366850301"/>
  </r>
  <r>
    <s v="ynrcizqr"/>
    <x v="10"/>
    <x v="9"/>
    <d v="2021-07-26T00:00:00"/>
    <n v="6"/>
    <n v="0.83300140406454304"/>
    <d v="2023-04-10T00:00:00"/>
    <n v="0.70242147925557197"/>
  </r>
  <r>
    <s v="ypdwpcvo"/>
    <x v="8"/>
    <x v="7"/>
    <d v="2022-05-13T00:00:00"/>
    <n v="3"/>
    <n v="0.27727516856333601"/>
    <d v="2023-04-20T00:00:00"/>
    <n v="0.34199564672456301"/>
  </r>
  <r>
    <s v="yrvvdedn"/>
    <x v="0"/>
    <x v="0"/>
    <d v="2021-01-03T00:00:00"/>
    <n v="2"/>
    <n v="0.22356266053190499"/>
    <d v="2023-01-25T00:00:00"/>
    <n v="0.43217504342818902"/>
  </r>
  <r>
    <s v="ysndnwiy"/>
    <x v="11"/>
    <x v="10"/>
    <d v="2022-02-14T00:00:00"/>
    <n v="6"/>
    <n v="0.64447099494037297"/>
    <d v="2023-02-18T00:00:00"/>
    <n v="0.96567027076396705"/>
  </r>
  <r>
    <s v="ywfotaaf"/>
    <x v="12"/>
    <x v="11"/>
    <d v="2022-07-18T00:00:00"/>
    <n v="6"/>
    <n v="0.91937449423976403"/>
    <d v="2023-01-15T00:00:00"/>
    <n v="0.80855685548065803"/>
  </r>
  <r>
    <s v="yyclexzy"/>
    <x v="16"/>
    <x v="11"/>
    <d v="2021-07-14T00:00:00"/>
    <n v="1"/>
    <n v="0.26377783191771698"/>
    <d v="2023-01-17T00:00:00"/>
    <n v="0.53464391868976202"/>
  </r>
  <r>
    <s v="zhhtkovi"/>
    <x v="6"/>
    <x v="5"/>
    <d v="2021-09-18T00:00:00"/>
    <n v="3"/>
    <n v="0.48376018648020602"/>
    <d v="2023-02-26T00:00:00"/>
    <n v="0.28976743361438201"/>
  </r>
  <r>
    <s v="zkxftiop"/>
    <x v="14"/>
    <x v="13"/>
    <d v="2021-08-01T00:00:00"/>
    <n v="2"/>
    <n v="0.56649641364178105"/>
    <d v="2023-01-22T00:00:00"/>
    <n v="0.76019400248091895"/>
  </r>
  <r>
    <s v="zlqfijoe"/>
    <x v="19"/>
    <x v="16"/>
    <d v="2021-02-02T00:00:00"/>
    <n v="10"/>
    <n v="0.81758392927810297"/>
    <d v="2023-01-11T00:00:00"/>
    <n v="0.16419798109251399"/>
  </r>
  <r>
    <s v="zrgkwdyf"/>
    <x v="11"/>
    <x v="10"/>
    <d v="2021-08-04T00:00:00"/>
    <n v="5"/>
    <n v="0.24147425161639699"/>
    <d v="2023-03-20T00:00:00"/>
    <n v="0.23302367858983999"/>
  </r>
  <r>
    <s v="zsbkamjf"/>
    <x v="14"/>
    <x v="13"/>
    <d v="2022-09-24T00:00:00"/>
    <n v="6"/>
    <n v="0.51291771398490105"/>
    <d v="2023-03-02T00:00:00"/>
    <n v="0.755021488484095"/>
  </r>
  <r>
    <s v="zsylhezi"/>
    <x v="17"/>
    <x v="15"/>
    <d v="2022-06-30T00:00:00"/>
    <n v="9"/>
    <n v="0.30094368268289601"/>
    <d v="2023-04-21T00:00:00"/>
    <n v="0.55983002083455202"/>
  </r>
  <r>
    <s v="zvxjotpr"/>
    <x v="14"/>
    <x v="13"/>
    <d v="2021-11-02T00:00:00"/>
    <n v="8"/>
    <n v="0.91352809441905303"/>
    <d v="2023-02-21T00:00:00"/>
    <n v="0.137985792121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06F87-5DF3-40F5-9143-18702B7C052B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Region">
  <location ref="A1:C40" firstHeaderRow="1" firstDataRow="1" firstDataCol="2"/>
  <pivotFields count="8">
    <pivotField showAll="0"/>
    <pivotField axis="axisRow" outline="0" showAll="0">
      <items count="22">
        <item x="19"/>
        <item x="14"/>
        <item x="0"/>
        <item x="8"/>
        <item x="4"/>
        <item x="11"/>
        <item x="10"/>
        <item x="6"/>
        <item x="5"/>
        <item x="13"/>
        <item x="15"/>
        <item x="20"/>
        <item x="2"/>
        <item x="18"/>
        <item x="9"/>
        <item x="12"/>
        <item x="16"/>
        <item x="3"/>
        <item x="17"/>
        <item x="1"/>
        <item x="7"/>
        <item t="default"/>
      </items>
    </pivotField>
    <pivotField axis="axisRow" outline="0" subtotalTop="0" showAll="0">
      <items count="18">
        <item x="16"/>
        <item x="13"/>
        <item x="6"/>
        <item x="11"/>
        <item x="3"/>
        <item x="7"/>
        <item x="10"/>
        <item x="0"/>
        <item x="1"/>
        <item x="9"/>
        <item x="8"/>
        <item x="5"/>
        <item x="4"/>
        <item x="2"/>
        <item x="15"/>
        <item x="12"/>
        <item x="14"/>
        <item t="default"/>
      </items>
    </pivotField>
    <pivotField numFmtId="165" showAll="0"/>
    <pivotField dataField="1" showAll="0"/>
    <pivotField showAll="0"/>
    <pivotField numFmtId="165" showAll="0"/>
    <pivotField showAll="0"/>
  </pivotFields>
  <rowFields count="2">
    <field x="2"/>
    <field x="1"/>
  </rowFields>
  <rowItems count="39">
    <i>
      <x/>
      <x/>
    </i>
    <i t="default">
      <x/>
    </i>
    <i>
      <x v="1"/>
      <x v="1"/>
    </i>
    <i t="default">
      <x v="1"/>
    </i>
    <i>
      <x v="2"/>
      <x v="20"/>
    </i>
    <i t="default">
      <x v="2"/>
    </i>
    <i>
      <x v="3"/>
      <x v="15"/>
    </i>
    <i r="1">
      <x v="16"/>
    </i>
    <i t="default">
      <x v="3"/>
    </i>
    <i>
      <x v="4"/>
      <x v="4"/>
    </i>
    <i r="1">
      <x v="11"/>
    </i>
    <i t="default">
      <x v="4"/>
    </i>
    <i>
      <x v="5"/>
      <x v="3"/>
    </i>
    <i t="default">
      <x v="5"/>
    </i>
    <i>
      <x v="6"/>
      <x v="5"/>
    </i>
    <i t="default">
      <x v="6"/>
    </i>
    <i>
      <x v="7"/>
      <x v="2"/>
    </i>
    <i r="1">
      <x v="12"/>
    </i>
    <i t="default">
      <x v="7"/>
    </i>
    <i>
      <x v="8"/>
      <x v="19"/>
    </i>
    <i t="default">
      <x v="8"/>
    </i>
    <i>
      <x v="9"/>
      <x v="6"/>
    </i>
    <i t="default">
      <x v="9"/>
    </i>
    <i>
      <x v="10"/>
      <x v="14"/>
    </i>
    <i t="default">
      <x v="10"/>
    </i>
    <i>
      <x v="11"/>
      <x v="7"/>
    </i>
    <i t="default">
      <x v="11"/>
    </i>
    <i>
      <x v="12"/>
      <x v="8"/>
    </i>
    <i t="default">
      <x v="12"/>
    </i>
    <i>
      <x v="13"/>
      <x v="17"/>
    </i>
    <i t="default">
      <x v="13"/>
    </i>
    <i>
      <x v="14"/>
      <x v="18"/>
    </i>
    <i t="default">
      <x v="14"/>
    </i>
    <i>
      <x v="15"/>
      <x v="9"/>
    </i>
    <i t="default">
      <x v="15"/>
    </i>
    <i>
      <x v="16"/>
      <x v="10"/>
    </i>
    <i r="1">
      <x v="13"/>
    </i>
    <i t="default">
      <x v="16"/>
    </i>
    <i t="grand">
      <x/>
    </i>
  </rowItems>
  <colItems count="1">
    <i/>
  </colItems>
  <dataFields count="1">
    <dataField name="Num of trades" fld="4" baseField="0" baseItem="0"/>
  </dataFields>
  <formats count="65">
    <format dxfId="1429">
      <pivotArea field="2" type="button" dataOnly="0" labelOnly="1" outline="0" axis="axisRow" fieldPosition="0"/>
    </format>
    <format dxfId="1428">
      <pivotArea field="1" type="button" dataOnly="0" labelOnly="1" outline="0" axis="axisRow" fieldPosition="1"/>
    </format>
    <format dxfId="1427">
      <pivotArea dataOnly="0" outline="0" axis="axisValues" fieldPosition="0"/>
    </format>
    <format dxfId="1426">
      <pivotArea field="2" type="button" dataOnly="0" labelOnly="1" outline="0" axis="axisRow" fieldPosition="0"/>
    </format>
    <format dxfId="1425">
      <pivotArea field="1" type="button" dataOnly="0" labelOnly="1" outline="0" axis="axisRow" fieldPosition="1"/>
    </format>
    <format dxfId="1424">
      <pivotArea dataOnly="0" labelOnly="1" outline="0" axis="axisValues" fieldPosition="0"/>
    </format>
    <format dxfId="1423">
      <pivotArea field="2" type="button" dataOnly="0" labelOnly="1" outline="0" axis="axisRow" fieldPosition="0"/>
    </format>
    <format dxfId="1422">
      <pivotArea field="1" type="button" dataOnly="0" labelOnly="1" outline="0" axis="axisRow" fieldPosition="1"/>
    </format>
    <format dxfId="1421">
      <pivotArea dataOnly="0" labelOnly="1" outline="0" axis="axisValues" fieldPosition="0"/>
    </format>
    <format dxfId="1420">
      <pivotArea dataOnly="0" outline="0" axis="axisValues" fieldPosition="0"/>
    </format>
    <format dxfId="1419">
      <pivotArea field="2" type="button" dataOnly="0" labelOnly="1" outline="0" axis="axisRow" fieldPosition="0"/>
    </format>
    <format dxfId="1418">
      <pivotArea field="1" type="button" dataOnly="0" labelOnly="1" outline="0" axis="axisRow" fieldPosition="1"/>
    </format>
    <format dxfId="1417">
      <pivotArea dataOnly="0" labelOnly="1" outline="0" axis="axisValues" fieldPosition="0"/>
    </format>
    <format dxfId="1416">
      <pivotArea field="2" type="button" dataOnly="0" labelOnly="1" outline="0" axis="axisRow" fieldPosition="0"/>
    </format>
    <format dxfId="1415">
      <pivotArea field="1" type="button" dataOnly="0" labelOnly="1" outline="0" axis="axisRow" fieldPosition="1"/>
    </format>
    <format dxfId="1414">
      <pivotArea dataOnly="0" labelOnly="1" outline="0" axis="axisValues" fieldPosition="0"/>
    </format>
    <format dxfId="1413">
      <pivotArea field="2" type="button" dataOnly="0" labelOnly="1" outline="0" axis="axisRow" fieldPosition="0"/>
    </format>
    <format dxfId="1412">
      <pivotArea field="1" type="button" dataOnly="0" labelOnly="1" outline="0" axis="axisRow" fieldPosition="1"/>
    </format>
    <format dxfId="1411">
      <pivotArea dataOnly="0" labelOnly="1" outline="0" axis="axisValues" fieldPosition="0"/>
    </format>
    <format dxfId="1410">
      <pivotArea outline="0" collapsedLevelsAreSubtotals="1" fieldPosition="0"/>
    </format>
    <format dxfId="1409">
      <pivotArea dataOnly="0" labelOnly="1" fieldPosition="0">
        <references count="1">
          <reference field="2" count="0"/>
        </references>
      </pivotArea>
    </format>
    <format dxfId="1408">
      <pivotArea dataOnly="0" labelOnly="1" fieldPosition="0">
        <references count="1">
          <reference field="2" count="0" defaultSubtotal="1"/>
        </references>
      </pivotArea>
    </format>
    <format dxfId="1407">
      <pivotArea dataOnly="0" labelOnly="1" grandRow="1" outline="0" fieldPosition="0"/>
    </format>
    <format dxfId="1406">
      <pivotArea dataOnly="0" labelOnly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1405">
      <pivotArea dataOnly="0" labelOnly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1404">
      <pivotArea dataOnly="0" labelOnly="1" fieldPosition="0">
        <references count="2">
          <reference field="1" count="1">
            <x v="20"/>
          </reference>
          <reference field="2" count="1" selected="0">
            <x v="2"/>
          </reference>
        </references>
      </pivotArea>
    </format>
    <format dxfId="1403">
      <pivotArea dataOnly="0" labelOnly="1" fieldPosition="0">
        <references count="2">
          <reference field="1" count="2">
            <x v="15"/>
            <x v="16"/>
          </reference>
          <reference field="2" count="1" selected="0">
            <x v="3"/>
          </reference>
        </references>
      </pivotArea>
    </format>
    <format dxfId="1402">
      <pivotArea dataOnly="0" labelOnly="1" fieldPosition="0">
        <references count="2">
          <reference field="1" count="2">
            <x v="4"/>
            <x v="11"/>
          </reference>
          <reference field="2" count="1" selected="0">
            <x v="4"/>
          </reference>
        </references>
      </pivotArea>
    </format>
    <format dxfId="1401">
      <pivotArea dataOnly="0" labelOnly="1" fieldPosition="0">
        <references count="2">
          <reference field="1" count="1">
            <x v="3"/>
          </reference>
          <reference field="2" count="1" selected="0">
            <x v="5"/>
          </reference>
        </references>
      </pivotArea>
    </format>
    <format dxfId="1400">
      <pivotArea dataOnly="0" labelOnly="1" fieldPosition="0">
        <references count="2">
          <reference field="1" count="1">
            <x v="5"/>
          </reference>
          <reference field="2" count="1" selected="0">
            <x v="6"/>
          </reference>
        </references>
      </pivotArea>
    </format>
    <format dxfId="1399">
      <pivotArea dataOnly="0" labelOnly="1" fieldPosition="0">
        <references count="2">
          <reference field="1" count="2">
            <x v="2"/>
            <x v="12"/>
          </reference>
          <reference field="2" count="1" selected="0">
            <x v="7"/>
          </reference>
        </references>
      </pivotArea>
    </format>
    <format dxfId="1398">
      <pivotArea dataOnly="0" labelOnly="1" fieldPosition="0">
        <references count="2">
          <reference field="1" count="1">
            <x v="19"/>
          </reference>
          <reference field="2" count="1" selected="0">
            <x v="8"/>
          </reference>
        </references>
      </pivotArea>
    </format>
    <format dxfId="1397">
      <pivotArea dataOnly="0" labelOnly="1" fieldPosition="0">
        <references count="2">
          <reference field="1" count="1">
            <x v="6"/>
          </reference>
          <reference field="2" count="1" selected="0">
            <x v="9"/>
          </reference>
        </references>
      </pivotArea>
    </format>
    <format dxfId="1396">
      <pivotArea dataOnly="0" labelOnly="1" fieldPosition="0">
        <references count="2">
          <reference field="1" count="1">
            <x v="14"/>
          </reference>
          <reference field="2" count="1" selected="0">
            <x v="10"/>
          </reference>
        </references>
      </pivotArea>
    </format>
    <format dxfId="1395">
      <pivotArea dataOnly="0" labelOnly="1" fieldPosition="0">
        <references count="2">
          <reference field="1" count="1">
            <x v="7"/>
          </reference>
          <reference field="2" count="1" selected="0">
            <x v="11"/>
          </reference>
        </references>
      </pivotArea>
    </format>
    <format dxfId="1394">
      <pivotArea dataOnly="0" labelOnly="1" fieldPosition="0">
        <references count="2">
          <reference field="1" count="1">
            <x v="8"/>
          </reference>
          <reference field="2" count="1" selected="0">
            <x v="12"/>
          </reference>
        </references>
      </pivotArea>
    </format>
    <format dxfId="1393">
      <pivotArea dataOnly="0" labelOnly="1" fieldPosition="0">
        <references count="2">
          <reference field="1" count="1">
            <x v="17"/>
          </reference>
          <reference field="2" count="1" selected="0">
            <x v="13"/>
          </reference>
        </references>
      </pivotArea>
    </format>
    <format dxfId="1392">
      <pivotArea dataOnly="0" labelOnly="1" fieldPosition="0">
        <references count="2">
          <reference field="1" count="1">
            <x v="18"/>
          </reference>
          <reference field="2" count="1" selected="0">
            <x v="14"/>
          </reference>
        </references>
      </pivotArea>
    </format>
    <format dxfId="1391">
      <pivotArea dataOnly="0" labelOnly="1" fieldPosition="0">
        <references count="2">
          <reference field="1" count="1">
            <x v="9"/>
          </reference>
          <reference field="2" count="1" selected="0">
            <x v="15"/>
          </reference>
        </references>
      </pivotArea>
    </format>
    <format dxfId="1390">
      <pivotArea dataOnly="0" labelOnly="1" fieldPosition="0">
        <references count="2">
          <reference field="1" count="2">
            <x v="10"/>
            <x v="13"/>
          </reference>
          <reference field="2" count="1" selected="0">
            <x v="16"/>
          </reference>
        </references>
      </pivotArea>
    </format>
    <format dxfId="1389">
      <pivotArea type="all" dataOnly="0" outline="0" fieldPosition="0"/>
    </format>
    <format dxfId="1388">
      <pivotArea outline="0" collapsedLevelsAreSubtotals="1" fieldPosition="0"/>
    </format>
    <format dxfId="1387">
      <pivotArea field="2" type="button" dataOnly="0" labelOnly="1" outline="0" axis="axisRow" fieldPosition="0"/>
    </format>
    <format dxfId="1386">
      <pivotArea field="1" type="button" dataOnly="0" labelOnly="1" outline="0" axis="axisRow" fieldPosition="1"/>
    </format>
    <format dxfId="1385">
      <pivotArea dataOnly="0" labelOnly="1" fieldPosition="0">
        <references count="1">
          <reference field="2" count="0"/>
        </references>
      </pivotArea>
    </format>
    <format dxfId="1384">
      <pivotArea dataOnly="0" labelOnly="1" fieldPosition="0">
        <references count="1">
          <reference field="2" count="0" defaultSubtotal="1"/>
        </references>
      </pivotArea>
    </format>
    <format dxfId="1383">
      <pivotArea dataOnly="0" labelOnly="1" grandRow="1" outline="0" fieldPosition="0"/>
    </format>
    <format dxfId="1382">
      <pivotArea dataOnly="0" labelOnly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1381">
      <pivotArea dataOnly="0" labelOnly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1380">
      <pivotArea dataOnly="0" labelOnly="1" fieldPosition="0">
        <references count="2">
          <reference field="1" count="1">
            <x v="20"/>
          </reference>
          <reference field="2" count="1" selected="0">
            <x v="2"/>
          </reference>
        </references>
      </pivotArea>
    </format>
    <format dxfId="1379">
      <pivotArea dataOnly="0" labelOnly="1" fieldPosition="0">
        <references count="2">
          <reference field="1" count="2">
            <x v="15"/>
            <x v="16"/>
          </reference>
          <reference field="2" count="1" selected="0">
            <x v="3"/>
          </reference>
        </references>
      </pivotArea>
    </format>
    <format dxfId="1378">
      <pivotArea dataOnly="0" labelOnly="1" fieldPosition="0">
        <references count="2">
          <reference field="1" count="2">
            <x v="4"/>
            <x v="11"/>
          </reference>
          <reference field="2" count="1" selected="0">
            <x v="4"/>
          </reference>
        </references>
      </pivotArea>
    </format>
    <format dxfId="1377">
      <pivotArea dataOnly="0" labelOnly="1" fieldPosition="0">
        <references count="2">
          <reference field="1" count="1">
            <x v="3"/>
          </reference>
          <reference field="2" count="1" selected="0">
            <x v="5"/>
          </reference>
        </references>
      </pivotArea>
    </format>
    <format dxfId="1376">
      <pivotArea dataOnly="0" labelOnly="1" fieldPosition="0">
        <references count="2">
          <reference field="1" count="1">
            <x v="5"/>
          </reference>
          <reference field="2" count="1" selected="0">
            <x v="6"/>
          </reference>
        </references>
      </pivotArea>
    </format>
    <format dxfId="1375">
      <pivotArea dataOnly="0" labelOnly="1" fieldPosition="0">
        <references count="2">
          <reference field="1" count="2">
            <x v="2"/>
            <x v="12"/>
          </reference>
          <reference field="2" count="1" selected="0">
            <x v="7"/>
          </reference>
        </references>
      </pivotArea>
    </format>
    <format dxfId="1374">
      <pivotArea dataOnly="0" labelOnly="1" fieldPosition="0">
        <references count="2">
          <reference field="1" count="1">
            <x v="19"/>
          </reference>
          <reference field="2" count="1" selected="0">
            <x v="8"/>
          </reference>
        </references>
      </pivotArea>
    </format>
    <format dxfId="1373">
      <pivotArea dataOnly="0" labelOnly="1" fieldPosition="0">
        <references count="2">
          <reference field="1" count="1">
            <x v="6"/>
          </reference>
          <reference field="2" count="1" selected="0">
            <x v="9"/>
          </reference>
        </references>
      </pivotArea>
    </format>
    <format dxfId="1372">
      <pivotArea dataOnly="0" labelOnly="1" fieldPosition="0">
        <references count="2">
          <reference field="1" count="1">
            <x v="14"/>
          </reference>
          <reference field="2" count="1" selected="0">
            <x v="10"/>
          </reference>
        </references>
      </pivotArea>
    </format>
    <format dxfId="1371">
      <pivotArea dataOnly="0" labelOnly="1" fieldPosition="0">
        <references count="2">
          <reference field="1" count="1">
            <x v="7"/>
          </reference>
          <reference field="2" count="1" selected="0">
            <x v="11"/>
          </reference>
        </references>
      </pivotArea>
    </format>
    <format dxfId="1370">
      <pivotArea dataOnly="0" labelOnly="1" fieldPosition="0">
        <references count="2">
          <reference field="1" count="1">
            <x v="8"/>
          </reference>
          <reference field="2" count="1" selected="0">
            <x v="12"/>
          </reference>
        </references>
      </pivotArea>
    </format>
    <format dxfId="1369">
      <pivotArea dataOnly="0" labelOnly="1" fieldPosition="0">
        <references count="2">
          <reference field="1" count="1">
            <x v="17"/>
          </reference>
          <reference field="2" count="1" selected="0">
            <x v="13"/>
          </reference>
        </references>
      </pivotArea>
    </format>
    <format dxfId="1368">
      <pivotArea dataOnly="0" labelOnly="1" fieldPosition="0">
        <references count="2">
          <reference field="1" count="1">
            <x v="18"/>
          </reference>
          <reference field="2" count="1" selected="0">
            <x v="14"/>
          </reference>
        </references>
      </pivotArea>
    </format>
    <format dxfId="1367">
      <pivotArea dataOnly="0" labelOnly="1" fieldPosition="0">
        <references count="2">
          <reference field="1" count="1">
            <x v="9"/>
          </reference>
          <reference field="2" count="1" selected="0">
            <x v="15"/>
          </reference>
        </references>
      </pivotArea>
    </format>
    <format dxfId="1366">
      <pivotArea dataOnly="0" labelOnly="1" fieldPosition="0">
        <references count="2">
          <reference field="1" count="2">
            <x v="10"/>
            <x v="13"/>
          </reference>
          <reference field="2" count="1" selected="0">
            <x v="16"/>
          </reference>
        </references>
      </pivotArea>
    </format>
    <format dxfId="136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B3_(stock_exchange)" TargetMode="External"/><Relationship Id="rId21" Type="http://schemas.openxmlformats.org/officeDocument/2006/relationships/hyperlink" Target="https://en.wikipedia.org/wiki/London_Stock_Exchange" TargetMode="External"/><Relationship Id="rId42" Type="http://schemas.openxmlformats.org/officeDocument/2006/relationships/hyperlink" Target="https://en.wikipedia.org/wiki/Tehran_Stock_Exchange" TargetMode="External"/><Relationship Id="rId63" Type="http://schemas.openxmlformats.org/officeDocument/2006/relationships/hyperlink" Target="https://en.wikipedia.org/wiki/Deutsche_B%C3%B6rse" TargetMode="External"/><Relationship Id="rId84" Type="http://schemas.openxmlformats.org/officeDocument/2006/relationships/hyperlink" Target="https://en.wikipedia.org/wiki/Deutsche_B%C3%B6rse" TargetMode="External"/><Relationship Id="rId138" Type="http://schemas.openxmlformats.org/officeDocument/2006/relationships/hyperlink" Target="https://en.wikipedia.org/wiki/B3_(stock_exchange)" TargetMode="External"/><Relationship Id="rId159" Type="http://schemas.openxmlformats.org/officeDocument/2006/relationships/hyperlink" Target="https://en.wikipedia.org/wiki/SIX_Swiss_Exchange" TargetMode="External"/><Relationship Id="rId170" Type="http://schemas.openxmlformats.org/officeDocument/2006/relationships/hyperlink" Target="https://en.wikipedia.org/wiki/Taiwan_Stock_Exchange" TargetMode="External"/><Relationship Id="rId107" Type="http://schemas.openxmlformats.org/officeDocument/2006/relationships/hyperlink" Target="https://en.wikipedia.org/wiki/Korea_Exchange" TargetMode="External"/><Relationship Id="rId11" Type="http://schemas.openxmlformats.org/officeDocument/2006/relationships/hyperlink" Target="https://en.wikipedia.org/wiki/Deutsche_B%C3%B6rse" TargetMode="External"/><Relationship Id="rId32" Type="http://schemas.openxmlformats.org/officeDocument/2006/relationships/hyperlink" Target="https://en.wikipedia.org/wiki/Shenzhen_Stock_Exchange" TargetMode="External"/><Relationship Id="rId53" Type="http://schemas.openxmlformats.org/officeDocument/2006/relationships/hyperlink" Target="https://en.wikipedia.org/wiki/SIX_Swiss_Exchange" TargetMode="External"/><Relationship Id="rId74" Type="http://schemas.openxmlformats.org/officeDocument/2006/relationships/hyperlink" Target="https://en.wikipedia.org/wiki/National_Stock_Exchange_of_India" TargetMode="External"/><Relationship Id="rId128" Type="http://schemas.openxmlformats.org/officeDocument/2006/relationships/hyperlink" Target="https://en.wikipedia.org/wiki/Taiwan_Stock_Exchange" TargetMode="External"/><Relationship Id="rId149" Type="http://schemas.openxmlformats.org/officeDocument/2006/relationships/hyperlink" Target="https://en.wikipedia.org/wiki/Toronto_Stock_Exchange" TargetMode="External"/><Relationship Id="rId5" Type="http://schemas.openxmlformats.org/officeDocument/2006/relationships/hyperlink" Target="https://en.wikipedia.org/wiki/Bombay_Stock_Exchange" TargetMode="External"/><Relationship Id="rId95" Type="http://schemas.openxmlformats.org/officeDocument/2006/relationships/hyperlink" Target="https://en.wikipedia.org/wiki/Taiwan_Stock_Exchange" TargetMode="External"/><Relationship Id="rId160" Type="http://schemas.openxmlformats.org/officeDocument/2006/relationships/hyperlink" Target="https://en.wikipedia.org/wiki/Japan_Exchange_Group" TargetMode="External"/><Relationship Id="rId181" Type="http://schemas.openxmlformats.org/officeDocument/2006/relationships/hyperlink" Target="https://en.wikipedia.org/wiki/Hong_Kong_Stock_Exchange" TargetMode="External"/><Relationship Id="rId22" Type="http://schemas.openxmlformats.org/officeDocument/2006/relationships/hyperlink" Target="https://en.wikipedia.org/wiki/Bombay_Stock_Exchange" TargetMode="External"/><Relationship Id="rId43" Type="http://schemas.openxmlformats.org/officeDocument/2006/relationships/hyperlink" Target="https://en.wikipedia.org/wiki/Japan_Exchange_Group" TargetMode="External"/><Relationship Id="rId64" Type="http://schemas.openxmlformats.org/officeDocument/2006/relationships/hyperlink" Target="https://en.wikipedia.org/wiki/JSE_Limited" TargetMode="External"/><Relationship Id="rId118" Type="http://schemas.openxmlformats.org/officeDocument/2006/relationships/hyperlink" Target="https://en.wikipedia.org/wiki/Hong_Kong_Stock_Exchange" TargetMode="External"/><Relationship Id="rId139" Type="http://schemas.openxmlformats.org/officeDocument/2006/relationships/hyperlink" Target="https://en.wikipedia.org/wiki/Tehran_Stock_Exchange" TargetMode="External"/><Relationship Id="rId85" Type="http://schemas.openxmlformats.org/officeDocument/2006/relationships/hyperlink" Target="https://en.wikipedia.org/wiki/National_Stock_Exchange_of_India" TargetMode="External"/><Relationship Id="rId150" Type="http://schemas.openxmlformats.org/officeDocument/2006/relationships/hyperlink" Target="https://en.wikipedia.org/wiki/B3_(stock_exchange)" TargetMode="External"/><Relationship Id="rId171" Type="http://schemas.openxmlformats.org/officeDocument/2006/relationships/hyperlink" Target="https://en.wikipedia.org/wiki/National_Stock_Exchange_of_India" TargetMode="External"/><Relationship Id="rId12" Type="http://schemas.openxmlformats.org/officeDocument/2006/relationships/hyperlink" Target="https://en.wikipedia.org/wiki/Bombay_Stock_Exchange" TargetMode="External"/><Relationship Id="rId33" Type="http://schemas.openxmlformats.org/officeDocument/2006/relationships/hyperlink" Target="https://en.wikipedia.org/wiki/Taiwan_Stock_Exchange" TargetMode="External"/><Relationship Id="rId108" Type="http://schemas.openxmlformats.org/officeDocument/2006/relationships/hyperlink" Target="https://en.wikipedia.org/wiki/Nasdaq" TargetMode="External"/><Relationship Id="rId129" Type="http://schemas.openxmlformats.org/officeDocument/2006/relationships/hyperlink" Target="https://en.wikipedia.org/wiki/Toronto_Stock_Exchange" TargetMode="External"/><Relationship Id="rId54" Type="http://schemas.openxmlformats.org/officeDocument/2006/relationships/hyperlink" Target="https://en.wikipedia.org/wiki/London_Stock_Exchange" TargetMode="External"/><Relationship Id="rId75" Type="http://schemas.openxmlformats.org/officeDocument/2006/relationships/hyperlink" Target="https://en.wikipedia.org/wiki/Deutsche_B%C3%B6rse" TargetMode="External"/><Relationship Id="rId96" Type="http://schemas.openxmlformats.org/officeDocument/2006/relationships/hyperlink" Target="https://en.wikipedia.org/wiki/Tadawul" TargetMode="External"/><Relationship Id="rId140" Type="http://schemas.openxmlformats.org/officeDocument/2006/relationships/hyperlink" Target="https://en.wikipedia.org/wiki/Deutsche_B%C3%B6rse" TargetMode="External"/><Relationship Id="rId161" Type="http://schemas.openxmlformats.org/officeDocument/2006/relationships/hyperlink" Target="https://en.wikipedia.org/wiki/Nasdaq_Nordic" TargetMode="External"/><Relationship Id="rId182" Type="http://schemas.openxmlformats.org/officeDocument/2006/relationships/hyperlink" Target="https://en.wikipedia.org/wiki/B3_(stock_exchange)" TargetMode="External"/><Relationship Id="rId6" Type="http://schemas.openxmlformats.org/officeDocument/2006/relationships/hyperlink" Target="https://en.wikipedia.org/wiki/Euronext" TargetMode="External"/><Relationship Id="rId23" Type="http://schemas.openxmlformats.org/officeDocument/2006/relationships/hyperlink" Target="https://en.wikipedia.org/wiki/B3_(stock_exchange)" TargetMode="External"/><Relationship Id="rId119" Type="http://schemas.openxmlformats.org/officeDocument/2006/relationships/hyperlink" Target="https://en.wikipedia.org/wiki/National_Stock_Exchange_of_India" TargetMode="External"/><Relationship Id="rId44" Type="http://schemas.openxmlformats.org/officeDocument/2006/relationships/hyperlink" Target="https://en.wikipedia.org/wiki/Bombay_Stock_Exchange" TargetMode="External"/><Relationship Id="rId60" Type="http://schemas.openxmlformats.org/officeDocument/2006/relationships/hyperlink" Target="https://en.wikipedia.org/wiki/Tadawul" TargetMode="External"/><Relationship Id="rId65" Type="http://schemas.openxmlformats.org/officeDocument/2006/relationships/hyperlink" Target="https://en.wikipedia.org/wiki/Shenzhen_Stock_Exchange" TargetMode="External"/><Relationship Id="rId81" Type="http://schemas.openxmlformats.org/officeDocument/2006/relationships/hyperlink" Target="https://en.wikipedia.org/wiki/Nasdaq_Nordic" TargetMode="External"/><Relationship Id="rId86" Type="http://schemas.openxmlformats.org/officeDocument/2006/relationships/hyperlink" Target="https://en.wikipedia.org/wiki/Euronext" TargetMode="External"/><Relationship Id="rId130" Type="http://schemas.openxmlformats.org/officeDocument/2006/relationships/hyperlink" Target="https://en.wikipedia.org/wiki/Nasdaq_Nordic" TargetMode="External"/><Relationship Id="rId135" Type="http://schemas.openxmlformats.org/officeDocument/2006/relationships/hyperlink" Target="https://en.wikipedia.org/wiki/JSE_Limited" TargetMode="External"/><Relationship Id="rId151" Type="http://schemas.openxmlformats.org/officeDocument/2006/relationships/hyperlink" Target="https://en.wikipedia.org/wiki/Bombay_Stock_Exchange" TargetMode="External"/><Relationship Id="rId156" Type="http://schemas.openxmlformats.org/officeDocument/2006/relationships/hyperlink" Target="https://en.wikipedia.org/wiki/Korea_Exchange" TargetMode="External"/><Relationship Id="rId177" Type="http://schemas.openxmlformats.org/officeDocument/2006/relationships/hyperlink" Target="https://en.wikipedia.org/wiki/Shanghai_Stock_Exchange" TargetMode="External"/><Relationship Id="rId172" Type="http://schemas.openxmlformats.org/officeDocument/2006/relationships/hyperlink" Target="https://en.wikipedia.org/wiki/JSE_Limited" TargetMode="External"/><Relationship Id="rId13" Type="http://schemas.openxmlformats.org/officeDocument/2006/relationships/hyperlink" Target="https://en.wikipedia.org/wiki/Bombay_Stock_Exchange" TargetMode="External"/><Relationship Id="rId18" Type="http://schemas.openxmlformats.org/officeDocument/2006/relationships/hyperlink" Target="https://en.wikipedia.org/wiki/Shanghai_Stock_Exchange" TargetMode="External"/><Relationship Id="rId39" Type="http://schemas.openxmlformats.org/officeDocument/2006/relationships/hyperlink" Target="https://en.wikipedia.org/wiki/New_York_Stock_Exchange" TargetMode="External"/><Relationship Id="rId109" Type="http://schemas.openxmlformats.org/officeDocument/2006/relationships/hyperlink" Target="https://en.wikipedia.org/wiki/London_Stock_Exchange" TargetMode="External"/><Relationship Id="rId34" Type="http://schemas.openxmlformats.org/officeDocument/2006/relationships/hyperlink" Target="https://en.wikipedia.org/wiki/Deutsche_B%C3%B6rse" TargetMode="External"/><Relationship Id="rId50" Type="http://schemas.openxmlformats.org/officeDocument/2006/relationships/hyperlink" Target="https://en.wikipedia.org/wiki/London_Stock_Exchange" TargetMode="External"/><Relationship Id="rId55" Type="http://schemas.openxmlformats.org/officeDocument/2006/relationships/hyperlink" Target="https://en.wikipedia.org/wiki/Korea_Exchange" TargetMode="External"/><Relationship Id="rId76" Type="http://schemas.openxmlformats.org/officeDocument/2006/relationships/hyperlink" Target="https://en.wikipedia.org/wiki/B3_(stock_exchange)" TargetMode="External"/><Relationship Id="rId97" Type="http://schemas.openxmlformats.org/officeDocument/2006/relationships/hyperlink" Target="https://en.wikipedia.org/wiki/Tadawul" TargetMode="External"/><Relationship Id="rId104" Type="http://schemas.openxmlformats.org/officeDocument/2006/relationships/hyperlink" Target="https://en.wikipedia.org/wiki/B3_(stock_exchange)" TargetMode="External"/><Relationship Id="rId120" Type="http://schemas.openxmlformats.org/officeDocument/2006/relationships/hyperlink" Target="https://en.wikipedia.org/wiki/Taiwan_Stock_Exchange" TargetMode="External"/><Relationship Id="rId125" Type="http://schemas.openxmlformats.org/officeDocument/2006/relationships/hyperlink" Target="https://en.wikipedia.org/wiki/Nasdaq_Nordic" TargetMode="External"/><Relationship Id="rId141" Type="http://schemas.openxmlformats.org/officeDocument/2006/relationships/hyperlink" Target="https://en.wikipedia.org/wiki/Shenzhen_Stock_Exchange" TargetMode="External"/><Relationship Id="rId146" Type="http://schemas.openxmlformats.org/officeDocument/2006/relationships/hyperlink" Target="https://en.wikipedia.org/wiki/Tadawul" TargetMode="External"/><Relationship Id="rId167" Type="http://schemas.openxmlformats.org/officeDocument/2006/relationships/hyperlink" Target="https://en.wikipedia.org/wiki/Tadawul" TargetMode="External"/><Relationship Id="rId7" Type="http://schemas.openxmlformats.org/officeDocument/2006/relationships/hyperlink" Target="https://en.wikipedia.org/wiki/Korea_Exchange" TargetMode="External"/><Relationship Id="rId71" Type="http://schemas.openxmlformats.org/officeDocument/2006/relationships/hyperlink" Target="https://en.wikipedia.org/wiki/Euronext" TargetMode="External"/><Relationship Id="rId92" Type="http://schemas.openxmlformats.org/officeDocument/2006/relationships/hyperlink" Target="https://en.wikipedia.org/wiki/Nasdaq_Nordic" TargetMode="External"/><Relationship Id="rId162" Type="http://schemas.openxmlformats.org/officeDocument/2006/relationships/hyperlink" Target="https://en.wikipedia.org/wiki/Shanghai_Stock_Exchange" TargetMode="External"/><Relationship Id="rId183" Type="http://schemas.openxmlformats.org/officeDocument/2006/relationships/hyperlink" Target="https://en.wikipedia.org/wiki/Taiwan_Stock_Exchange" TargetMode="External"/><Relationship Id="rId2" Type="http://schemas.openxmlformats.org/officeDocument/2006/relationships/hyperlink" Target="https://en.wikipedia.org/wiki/Tehran_Stock_Exchange" TargetMode="External"/><Relationship Id="rId29" Type="http://schemas.openxmlformats.org/officeDocument/2006/relationships/hyperlink" Target="https://en.wikipedia.org/wiki/Bombay_Stock_Exchange" TargetMode="External"/><Relationship Id="rId24" Type="http://schemas.openxmlformats.org/officeDocument/2006/relationships/hyperlink" Target="https://en.wikipedia.org/wiki/Nasdaq" TargetMode="External"/><Relationship Id="rId40" Type="http://schemas.openxmlformats.org/officeDocument/2006/relationships/hyperlink" Target="https://en.wikipedia.org/wiki/Tehran_Stock_Exchange" TargetMode="External"/><Relationship Id="rId45" Type="http://schemas.openxmlformats.org/officeDocument/2006/relationships/hyperlink" Target="https://en.wikipedia.org/wiki/Shanghai_Stock_Exchange" TargetMode="External"/><Relationship Id="rId66" Type="http://schemas.openxmlformats.org/officeDocument/2006/relationships/hyperlink" Target="https://en.wikipedia.org/wiki/B3_(stock_exchange)" TargetMode="External"/><Relationship Id="rId87" Type="http://schemas.openxmlformats.org/officeDocument/2006/relationships/hyperlink" Target="https://en.wikipedia.org/wiki/Bombay_Stock_Exchange" TargetMode="External"/><Relationship Id="rId110" Type="http://schemas.openxmlformats.org/officeDocument/2006/relationships/hyperlink" Target="https://en.wikipedia.org/wiki/Bombay_Stock_Exchange" TargetMode="External"/><Relationship Id="rId115" Type="http://schemas.openxmlformats.org/officeDocument/2006/relationships/hyperlink" Target="https://en.wikipedia.org/wiki/JSE_Limited" TargetMode="External"/><Relationship Id="rId131" Type="http://schemas.openxmlformats.org/officeDocument/2006/relationships/hyperlink" Target="https://en.wikipedia.org/wiki/Toronto_Stock_Exchange" TargetMode="External"/><Relationship Id="rId136" Type="http://schemas.openxmlformats.org/officeDocument/2006/relationships/hyperlink" Target="https://en.wikipedia.org/wiki/London_Stock_Exchange" TargetMode="External"/><Relationship Id="rId157" Type="http://schemas.openxmlformats.org/officeDocument/2006/relationships/hyperlink" Target="https://en.wikipedia.org/wiki/Korea_Exchange" TargetMode="External"/><Relationship Id="rId178" Type="http://schemas.openxmlformats.org/officeDocument/2006/relationships/hyperlink" Target="https://en.wikipedia.org/wiki/Shenzhen_Stock_Exchange" TargetMode="External"/><Relationship Id="rId61" Type="http://schemas.openxmlformats.org/officeDocument/2006/relationships/hyperlink" Target="https://en.wikipedia.org/wiki/Tehran_Stock_Exchange" TargetMode="External"/><Relationship Id="rId82" Type="http://schemas.openxmlformats.org/officeDocument/2006/relationships/hyperlink" Target="https://en.wikipedia.org/wiki/Nasdaq" TargetMode="External"/><Relationship Id="rId152" Type="http://schemas.openxmlformats.org/officeDocument/2006/relationships/hyperlink" Target="https://en.wikipedia.org/wiki/Shanghai_Stock_Exchange" TargetMode="External"/><Relationship Id="rId173" Type="http://schemas.openxmlformats.org/officeDocument/2006/relationships/hyperlink" Target="https://en.wikipedia.org/wiki/Japan_Exchange_Group" TargetMode="External"/><Relationship Id="rId19" Type="http://schemas.openxmlformats.org/officeDocument/2006/relationships/hyperlink" Target="https://en.wikipedia.org/wiki/National_Stock_Exchange_of_India" TargetMode="External"/><Relationship Id="rId14" Type="http://schemas.openxmlformats.org/officeDocument/2006/relationships/hyperlink" Target="https://en.wikipedia.org/wiki/Tadawul" TargetMode="External"/><Relationship Id="rId30" Type="http://schemas.openxmlformats.org/officeDocument/2006/relationships/hyperlink" Target="https://en.wikipedia.org/wiki/Deutsche_B%C3%B6rse" TargetMode="External"/><Relationship Id="rId35" Type="http://schemas.openxmlformats.org/officeDocument/2006/relationships/hyperlink" Target="https://en.wikipedia.org/wiki/SIX_Swiss_Exchange" TargetMode="External"/><Relationship Id="rId56" Type="http://schemas.openxmlformats.org/officeDocument/2006/relationships/hyperlink" Target="https://en.wikipedia.org/wiki/JSE_Limited" TargetMode="External"/><Relationship Id="rId77" Type="http://schemas.openxmlformats.org/officeDocument/2006/relationships/hyperlink" Target="https://en.wikipedia.org/wiki/Taiwan_Stock_Exchange" TargetMode="External"/><Relationship Id="rId100" Type="http://schemas.openxmlformats.org/officeDocument/2006/relationships/hyperlink" Target="https://en.wikipedia.org/wiki/Hong_Kong_Stock_Exchange" TargetMode="External"/><Relationship Id="rId105" Type="http://schemas.openxmlformats.org/officeDocument/2006/relationships/hyperlink" Target="https://en.wikipedia.org/wiki/Tehran_Stock_Exchange" TargetMode="External"/><Relationship Id="rId126" Type="http://schemas.openxmlformats.org/officeDocument/2006/relationships/hyperlink" Target="https://en.wikipedia.org/wiki/Deutsche_B%C3%B6rse" TargetMode="External"/><Relationship Id="rId147" Type="http://schemas.openxmlformats.org/officeDocument/2006/relationships/hyperlink" Target="https://en.wikipedia.org/wiki/Nasdaq" TargetMode="External"/><Relationship Id="rId168" Type="http://schemas.openxmlformats.org/officeDocument/2006/relationships/hyperlink" Target="https://en.wikipedia.org/wiki/Tadawul" TargetMode="External"/><Relationship Id="rId8" Type="http://schemas.openxmlformats.org/officeDocument/2006/relationships/hyperlink" Target="https://en.wikipedia.org/wiki/JSE_Limited" TargetMode="External"/><Relationship Id="rId51" Type="http://schemas.openxmlformats.org/officeDocument/2006/relationships/hyperlink" Target="https://en.wikipedia.org/wiki/Nasdaq" TargetMode="External"/><Relationship Id="rId72" Type="http://schemas.openxmlformats.org/officeDocument/2006/relationships/hyperlink" Target="https://en.wikipedia.org/wiki/SIX_Swiss_Exchange" TargetMode="External"/><Relationship Id="rId93" Type="http://schemas.openxmlformats.org/officeDocument/2006/relationships/hyperlink" Target="https://en.wikipedia.org/wiki/National_Stock_Exchange_of_India" TargetMode="External"/><Relationship Id="rId98" Type="http://schemas.openxmlformats.org/officeDocument/2006/relationships/hyperlink" Target="https://en.wikipedia.org/wiki/Nasdaq" TargetMode="External"/><Relationship Id="rId121" Type="http://schemas.openxmlformats.org/officeDocument/2006/relationships/hyperlink" Target="https://en.wikipedia.org/wiki/New_York_Stock_Exchange" TargetMode="External"/><Relationship Id="rId142" Type="http://schemas.openxmlformats.org/officeDocument/2006/relationships/hyperlink" Target="https://en.wikipedia.org/wiki/Shenzhen_Stock_Exchange" TargetMode="External"/><Relationship Id="rId163" Type="http://schemas.openxmlformats.org/officeDocument/2006/relationships/hyperlink" Target="https://en.wikipedia.org/wiki/Deutsche_B%C3%B6rse" TargetMode="External"/><Relationship Id="rId184" Type="http://schemas.openxmlformats.org/officeDocument/2006/relationships/hyperlink" Target="https://en.wikipedia.org/wiki/B3_(stock_exchange)" TargetMode="External"/><Relationship Id="rId3" Type="http://schemas.openxmlformats.org/officeDocument/2006/relationships/hyperlink" Target="https://en.wikipedia.org/wiki/National_Stock_Exchange_of_India" TargetMode="External"/><Relationship Id="rId25" Type="http://schemas.openxmlformats.org/officeDocument/2006/relationships/hyperlink" Target="https://en.wikipedia.org/wiki/Toronto_Stock_Exchange" TargetMode="External"/><Relationship Id="rId46" Type="http://schemas.openxmlformats.org/officeDocument/2006/relationships/hyperlink" Target="https://en.wikipedia.org/wiki/Deutsche_B%C3%B6rse" TargetMode="External"/><Relationship Id="rId67" Type="http://schemas.openxmlformats.org/officeDocument/2006/relationships/hyperlink" Target="https://en.wikipedia.org/wiki/New_York_Stock_Exchange" TargetMode="External"/><Relationship Id="rId116" Type="http://schemas.openxmlformats.org/officeDocument/2006/relationships/hyperlink" Target="https://en.wikipedia.org/wiki/Tehran_Stock_Exchange" TargetMode="External"/><Relationship Id="rId137" Type="http://schemas.openxmlformats.org/officeDocument/2006/relationships/hyperlink" Target="https://en.wikipedia.org/wiki/Korea_Exchange" TargetMode="External"/><Relationship Id="rId158" Type="http://schemas.openxmlformats.org/officeDocument/2006/relationships/hyperlink" Target="https://en.wikipedia.org/wiki/Shanghai_Stock_Exchange" TargetMode="External"/><Relationship Id="rId20" Type="http://schemas.openxmlformats.org/officeDocument/2006/relationships/hyperlink" Target="https://en.wikipedia.org/wiki/Japan_Exchange_Group" TargetMode="External"/><Relationship Id="rId41" Type="http://schemas.openxmlformats.org/officeDocument/2006/relationships/hyperlink" Target="https://en.wikipedia.org/wiki/New_York_Stock_Exchange" TargetMode="External"/><Relationship Id="rId62" Type="http://schemas.openxmlformats.org/officeDocument/2006/relationships/hyperlink" Target="https://en.wikipedia.org/wiki/B3_(stock_exchange)" TargetMode="External"/><Relationship Id="rId83" Type="http://schemas.openxmlformats.org/officeDocument/2006/relationships/hyperlink" Target="https://en.wikipedia.org/wiki/Nasdaq_Nordic" TargetMode="External"/><Relationship Id="rId88" Type="http://schemas.openxmlformats.org/officeDocument/2006/relationships/hyperlink" Target="https://en.wikipedia.org/wiki/B3_(stock_exchange)" TargetMode="External"/><Relationship Id="rId111" Type="http://schemas.openxmlformats.org/officeDocument/2006/relationships/hyperlink" Target="https://en.wikipedia.org/wiki/National_Stock_Exchange_of_India" TargetMode="External"/><Relationship Id="rId132" Type="http://schemas.openxmlformats.org/officeDocument/2006/relationships/hyperlink" Target="https://en.wikipedia.org/wiki/Shenzhen_Stock_Exchange" TargetMode="External"/><Relationship Id="rId153" Type="http://schemas.openxmlformats.org/officeDocument/2006/relationships/hyperlink" Target="https://en.wikipedia.org/wiki/Euronext" TargetMode="External"/><Relationship Id="rId174" Type="http://schemas.openxmlformats.org/officeDocument/2006/relationships/hyperlink" Target="https://en.wikipedia.org/wiki/Deutsche_B%C3%B6rse" TargetMode="External"/><Relationship Id="rId179" Type="http://schemas.openxmlformats.org/officeDocument/2006/relationships/hyperlink" Target="https://en.wikipedia.org/wiki/JSE_Limited" TargetMode="External"/><Relationship Id="rId15" Type="http://schemas.openxmlformats.org/officeDocument/2006/relationships/hyperlink" Target="https://en.wikipedia.org/wiki/JSE_Limited" TargetMode="External"/><Relationship Id="rId36" Type="http://schemas.openxmlformats.org/officeDocument/2006/relationships/hyperlink" Target="https://en.wikipedia.org/wiki/Euronext" TargetMode="External"/><Relationship Id="rId57" Type="http://schemas.openxmlformats.org/officeDocument/2006/relationships/hyperlink" Target="https://en.wikipedia.org/wiki/Japan_Exchange_Group" TargetMode="External"/><Relationship Id="rId106" Type="http://schemas.openxmlformats.org/officeDocument/2006/relationships/hyperlink" Target="https://en.wikipedia.org/wiki/Japan_Exchange_Group" TargetMode="External"/><Relationship Id="rId127" Type="http://schemas.openxmlformats.org/officeDocument/2006/relationships/hyperlink" Target="https://en.wikipedia.org/wiki/London_Stock_Exchange" TargetMode="External"/><Relationship Id="rId10" Type="http://schemas.openxmlformats.org/officeDocument/2006/relationships/hyperlink" Target="https://en.wikipedia.org/wiki/Euronext" TargetMode="External"/><Relationship Id="rId31" Type="http://schemas.openxmlformats.org/officeDocument/2006/relationships/hyperlink" Target="https://en.wikipedia.org/wiki/London_Stock_Exchange" TargetMode="External"/><Relationship Id="rId52" Type="http://schemas.openxmlformats.org/officeDocument/2006/relationships/hyperlink" Target="https://en.wikipedia.org/wiki/SIX_Swiss_Exchange" TargetMode="External"/><Relationship Id="rId73" Type="http://schemas.openxmlformats.org/officeDocument/2006/relationships/hyperlink" Target="https://en.wikipedia.org/wiki/B3_(stock_exchange)" TargetMode="External"/><Relationship Id="rId78" Type="http://schemas.openxmlformats.org/officeDocument/2006/relationships/hyperlink" Target="https://en.wikipedia.org/wiki/Bombay_Stock_Exchange" TargetMode="External"/><Relationship Id="rId94" Type="http://schemas.openxmlformats.org/officeDocument/2006/relationships/hyperlink" Target="https://en.wikipedia.org/wiki/Toronto_Stock_Exchange" TargetMode="External"/><Relationship Id="rId99" Type="http://schemas.openxmlformats.org/officeDocument/2006/relationships/hyperlink" Target="https://en.wikipedia.org/wiki/B3_(stock_exchange)" TargetMode="External"/><Relationship Id="rId101" Type="http://schemas.openxmlformats.org/officeDocument/2006/relationships/hyperlink" Target="https://en.wikipedia.org/wiki/Euronext" TargetMode="External"/><Relationship Id="rId122" Type="http://schemas.openxmlformats.org/officeDocument/2006/relationships/hyperlink" Target="https://en.wikipedia.org/wiki/Toronto_Stock_Exchange" TargetMode="External"/><Relationship Id="rId143" Type="http://schemas.openxmlformats.org/officeDocument/2006/relationships/hyperlink" Target="https://en.wikipedia.org/wiki/Deutsche_B%C3%B6rse" TargetMode="External"/><Relationship Id="rId148" Type="http://schemas.openxmlformats.org/officeDocument/2006/relationships/hyperlink" Target="https://en.wikipedia.org/wiki/Shanghai_Stock_Exchange" TargetMode="External"/><Relationship Id="rId164" Type="http://schemas.openxmlformats.org/officeDocument/2006/relationships/hyperlink" Target="https://en.wikipedia.org/wiki/New_York_Stock_Exchange" TargetMode="External"/><Relationship Id="rId169" Type="http://schemas.openxmlformats.org/officeDocument/2006/relationships/hyperlink" Target="https://en.wikipedia.org/wiki/Tadawul" TargetMode="External"/><Relationship Id="rId4" Type="http://schemas.openxmlformats.org/officeDocument/2006/relationships/hyperlink" Target="https://en.wikipedia.org/wiki/SIX_Swiss_Exchange" TargetMode="External"/><Relationship Id="rId9" Type="http://schemas.openxmlformats.org/officeDocument/2006/relationships/hyperlink" Target="https://en.wikipedia.org/wiki/Toronto_Stock_Exchange" TargetMode="External"/><Relationship Id="rId180" Type="http://schemas.openxmlformats.org/officeDocument/2006/relationships/hyperlink" Target="https://en.wikipedia.org/wiki/B3_(stock_exchange)" TargetMode="External"/><Relationship Id="rId26" Type="http://schemas.openxmlformats.org/officeDocument/2006/relationships/hyperlink" Target="https://en.wikipedia.org/wiki/B3_(stock_exchange)" TargetMode="External"/><Relationship Id="rId47" Type="http://schemas.openxmlformats.org/officeDocument/2006/relationships/hyperlink" Target="https://en.wikipedia.org/wiki/Hong_Kong_Stock_Exchange" TargetMode="External"/><Relationship Id="rId68" Type="http://schemas.openxmlformats.org/officeDocument/2006/relationships/hyperlink" Target="https://en.wikipedia.org/wiki/Bombay_Stock_Exchange" TargetMode="External"/><Relationship Id="rId89" Type="http://schemas.openxmlformats.org/officeDocument/2006/relationships/hyperlink" Target="https://en.wikipedia.org/wiki/New_York_Stock_Exchange" TargetMode="External"/><Relationship Id="rId112" Type="http://schemas.openxmlformats.org/officeDocument/2006/relationships/hyperlink" Target="https://en.wikipedia.org/wiki/Hong_Kong_Stock_Exchange" TargetMode="External"/><Relationship Id="rId133" Type="http://schemas.openxmlformats.org/officeDocument/2006/relationships/hyperlink" Target="https://en.wikipedia.org/wiki/Nasdaq_Nordic" TargetMode="External"/><Relationship Id="rId154" Type="http://schemas.openxmlformats.org/officeDocument/2006/relationships/hyperlink" Target="https://en.wikipedia.org/wiki/New_York_Stock_Exchange" TargetMode="External"/><Relationship Id="rId175" Type="http://schemas.openxmlformats.org/officeDocument/2006/relationships/hyperlink" Target="https://en.wikipedia.org/wiki/Bombay_Stock_Exchange" TargetMode="External"/><Relationship Id="rId16" Type="http://schemas.openxmlformats.org/officeDocument/2006/relationships/hyperlink" Target="https://en.wikipedia.org/wiki/Japan_Exchange_Group" TargetMode="External"/><Relationship Id="rId37" Type="http://schemas.openxmlformats.org/officeDocument/2006/relationships/hyperlink" Target="https://en.wikipedia.org/wiki/Taiwan_Stock_Exchange" TargetMode="External"/><Relationship Id="rId58" Type="http://schemas.openxmlformats.org/officeDocument/2006/relationships/hyperlink" Target="https://en.wikipedia.org/wiki/Shenzhen_Stock_Exchange" TargetMode="External"/><Relationship Id="rId79" Type="http://schemas.openxmlformats.org/officeDocument/2006/relationships/hyperlink" Target="https://en.wikipedia.org/wiki/Japan_Exchange_Group" TargetMode="External"/><Relationship Id="rId102" Type="http://schemas.openxmlformats.org/officeDocument/2006/relationships/hyperlink" Target="https://en.wikipedia.org/wiki/B3_(stock_exchange)" TargetMode="External"/><Relationship Id="rId123" Type="http://schemas.openxmlformats.org/officeDocument/2006/relationships/hyperlink" Target="https://en.wikipedia.org/wiki/Deutsche_B%C3%B6rse" TargetMode="External"/><Relationship Id="rId144" Type="http://schemas.openxmlformats.org/officeDocument/2006/relationships/hyperlink" Target="https://en.wikipedia.org/wiki/Bombay_Stock_Exchange" TargetMode="External"/><Relationship Id="rId90" Type="http://schemas.openxmlformats.org/officeDocument/2006/relationships/hyperlink" Target="https://en.wikipedia.org/wiki/Euronext" TargetMode="External"/><Relationship Id="rId165" Type="http://schemas.openxmlformats.org/officeDocument/2006/relationships/hyperlink" Target="https://en.wikipedia.org/wiki/Tehran_Stock_Exchange" TargetMode="External"/><Relationship Id="rId27" Type="http://schemas.openxmlformats.org/officeDocument/2006/relationships/hyperlink" Target="https://en.wikipedia.org/wiki/Korea_Exchange" TargetMode="External"/><Relationship Id="rId48" Type="http://schemas.openxmlformats.org/officeDocument/2006/relationships/hyperlink" Target="https://en.wikipedia.org/wiki/Toronto_Stock_Exchange" TargetMode="External"/><Relationship Id="rId69" Type="http://schemas.openxmlformats.org/officeDocument/2006/relationships/hyperlink" Target="https://en.wikipedia.org/wiki/Nasdaq" TargetMode="External"/><Relationship Id="rId113" Type="http://schemas.openxmlformats.org/officeDocument/2006/relationships/hyperlink" Target="https://en.wikipedia.org/wiki/SIX_Swiss_Exchange" TargetMode="External"/><Relationship Id="rId134" Type="http://schemas.openxmlformats.org/officeDocument/2006/relationships/hyperlink" Target="https://en.wikipedia.org/wiki/Shenzhen_Stock_Exchange" TargetMode="External"/><Relationship Id="rId80" Type="http://schemas.openxmlformats.org/officeDocument/2006/relationships/hyperlink" Target="https://en.wikipedia.org/wiki/Shanghai_Stock_Exchange" TargetMode="External"/><Relationship Id="rId155" Type="http://schemas.openxmlformats.org/officeDocument/2006/relationships/hyperlink" Target="https://en.wikipedia.org/wiki/London_Stock_Exchange" TargetMode="External"/><Relationship Id="rId176" Type="http://schemas.openxmlformats.org/officeDocument/2006/relationships/hyperlink" Target="https://en.wikipedia.org/wiki/Hong_Kong_Stock_Exchange" TargetMode="External"/><Relationship Id="rId17" Type="http://schemas.openxmlformats.org/officeDocument/2006/relationships/hyperlink" Target="https://en.wikipedia.org/wiki/Hong_Kong_Stock_Exchange" TargetMode="External"/><Relationship Id="rId38" Type="http://schemas.openxmlformats.org/officeDocument/2006/relationships/hyperlink" Target="https://en.wikipedia.org/wiki/Deutsche_B%C3%B6rse" TargetMode="External"/><Relationship Id="rId59" Type="http://schemas.openxmlformats.org/officeDocument/2006/relationships/hyperlink" Target="https://en.wikipedia.org/wiki/Deutsche_B%C3%B6rse" TargetMode="External"/><Relationship Id="rId103" Type="http://schemas.openxmlformats.org/officeDocument/2006/relationships/hyperlink" Target="https://en.wikipedia.org/wiki/SIX_Swiss_Exchange" TargetMode="External"/><Relationship Id="rId124" Type="http://schemas.openxmlformats.org/officeDocument/2006/relationships/hyperlink" Target="https://en.wikipedia.org/wiki/Nasdaq" TargetMode="External"/><Relationship Id="rId70" Type="http://schemas.openxmlformats.org/officeDocument/2006/relationships/hyperlink" Target="https://en.wikipedia.org/wiki/Hong_Kong_Stock_Exchange" TargetMode="External"/><Relationship Id="rId91" Type="http://schemas.openxmlformats.org/officeDocument/2006/relationships/hyperlink" Target="https://en.wikipedia.org/wiki/Nasdaq_Nordic" TargetMode="External"/><Relationship Id="rId145" Type="http://schemas.openxmlformats.org/officeDocument/2006/relationships/hyperlink" Target="https://en.wikipedia.org/wiki/Bombay_Stock_Exchange" TargetMode="External"/><Relationship Id="rId166" Type="http://schemas.openxmlformats.org/officeDocument/2006/relationships/hyperlink" Target="https://en.wikipedia.org/wiki/New_York_Stock_Exchange" TargetMode="External"/><Relationship Id="rId1" Type="http://schemas.openxmlformats.org/officeDocument/2006/relationships/hyperlink" Target="https://en.wikipedia.org/wiki/Bombay_Stock_Exchange" TargetMode="External"/><Relationship Id="rId28" Type="http://schemas.openxmlformats.org/officeDocument/2006/relationships/hyperlink" Target="https://en.wikipedia.org/wiki/Bombay_Stock_Exchange" TargetMode="External"/><Relationship Id="rId49" Type="http://schemas.openxmlformats.org/officeDocument/2006/relationships/hyperlink" Target="https://en.wikipedia.org/wiki/Korea_Exchange" TargetMode="External"/><Relationship Id="rId114" Type="http://schemas.openxmlformats.org/officeDocument/2006/relationships/hyperlink" Target="https://en.wikipedia.org/wiki/Deutsche_B%C3%B6rs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B3_(stock_exchange)" TargetMode="External"/><Relationship Id="rId21" Type="http://schemas.openxmlformats.org/officeDocument/2006/relationships/hyperlink" Target="https://en.wikipedia.org/wiki/London_Stock_Exchange" TargetMode="External"/><Relationship Id="rId42" Type="http://schemas.openxmlformats.org/officeDocument/2006/relationships/hyperlink" Target="https://en.wikipedia.org/wiki/Tehran_Stock_Exchange" TargetMode="External"/><Relationship Id="rId63" Type="http://schemas.openxmlformats.org/officeDocument/2006/relationships/hyperlink" Target="https://en.wikipedia.org/wiki/Deutsche_B%C3%B6rse" TargetMode="External"/><Relationship Id="rId84" Type="http://schemas.openxmlformats.org/officeDocument/2006/relationships/hyperlink" Target="https://en.wikipedia.org/wiki/Deutsche_B%C3%B6rse" TargetMode="External"/><Relationship Id="rId138" Type="http://schemas.openxmlformats.org/officeDocument/2006/relationships/hyperlink" Target="https://en.wikipedia.org/wiki/B3_(stock_exchange)" TargetMode="External"/><Relationship Id="rId159" Type="http://schemas.openxmlformats.org/officeDocument/2006/relationships/hyperlink" Target="https://en.wikipedia.org/wiki/SIX_Swiss_Exchange" TargetMode="External"/><Relationship Id="rId170" Type="http://schemas.openxmlformats.org/officeDocument/2006/relationships/hyperlink" Target="https://en.wikipedia.org/wiki/Taiwan_Stock_Exchange" TargetMode="External"/><Relationship Id="rId107" Type="http://schemas.openxmlformats.org/officeDocument/2006/relationships/hyperlink" Target="https://en.wikipedia.org/wiki/Korea_Exchange" TargetMode="External"/><Relationship Id="rId11" Type="http://schemas.openxmlformats.org/officeDocument/2006/relationships/hyperlink" Target="https://en.wikipedia.org/wiki/Deutsche_B%C3%B6rse" TargetMode="External"/><Relationship Id="rId32" Type="http://schemas.openxmlformats.org/officeDocument/2006/relationships/hyperlink" Target="https://en.wikipedia.org/wiki/Shenzhen_Stock_Exchange" TargetMode="External"/><Relationship Id="rId53" Type="http://schemas.openxmlformats.org/officeDocument/2006/relationships/hyperlink" Target="https://en.wikipedia.org/wiki/SIX_Swiss_Exchange" TargetMode="External"/><Relationship Id="rId74" Type="http://schemas.openxmlformats.org/officeDocument/2006/relationships/hyperlink" Target="https://en.wikipedia.org/wiki/National_Stock_Exchange_of_India" TargetMode="External"/><Relationship Id="rId128" Type="http://schemas.openxmlformats.org/officeDocument/2006/relationships/hyperlink" Target="https://en.wikipedia.org/wiki/Taiwan_Stock_Exchange" TargetMode="External"/><Relationship Id="rId149" Type="http://schemas.openxmlformats.org/officeDocument/2006/relationships/hyperlink" Target="https://en.wikipedia.org/wiki/Toronto_Stock_Exchange" TargetMode="External"/><Relationship Id="rId5" Type="http://schemas.openxmlformats.org/officeDocument/2006/relationships/hyperlink" Target="https://en.wikipedia.org/wiki/Bombay_Stock_Exchange" TargetMode="External"/><Relationship Id="rId95" Type="http://schemas.openxmlformats.org/officeDocument/2006/relationships/hyperlink" Target="https://en.wikipedia.org/wiki/Taiwan_Stock_Exchange" TargetMode="External"/><Relationship Id="rId160" Type="http://schemas.openxmlformats.org/officeDocument/2006/relationships/hyperlink" Target="https://en.wikipedia.org/wiki/Japan_Exchange_Group" TargetMode="External"/><Relationship Id="rId181" Type="http://schemas.openxmlformats.org/officeDocument/2006/relationships/hyperlink" Target="https://en.wikipedia.org/wiki/Hong_Kong_Stock_Exchange" TargetMode="External"/><Relationship Id="rId22" Type="http://schemas.openxmlformats.org/officeDocument/2006/relationships/hyperlink" Target="https://en.wikipedia.org/wiki/Bombay_Stock_Exchange" TargetMode="External"/><Relationship Id="rId43" Type="http://schemas.openxmlformats.org/officeDocument/2006/relationships/hyperlink" Target="https://en.wikipedia.org/wiki/Japan_Exchange_Group" TargetMode="External"/><Relationship Id="rId64" Type="http://schemas.openxmlformats.org/officeDocument/2006/relationships/hyperlink" Target="https://en.wikipedia.org/wiki/JSE_Limited" TargetMode="External"/><Relationship Id="rId118" Type="http://schemas.openxmlformats.org/officeDocument/2006/relationships/hyperlink" Target="https://en.wikipedia.org/wiki/Hong_Kong_Stock_Exchange" TargetMode="External"/><Relationship Id="rId139" Type="http://schemas.openxmlformats.org/officeDocument/2006/relationships/hyperlink" Target="https://en.wikipedia.org/wiki/Tehran_Stock_Exchange" TargetMode="External"/><Relationship Id="rId85" Type="http://schemas.openxmlformats.org/officeDocument/2006/relationships/hyperlink" Target="https://en.wikipedia.org/wiki/National_Stock_Exchange_of_India" TargetMode="External"/><Relationship Id="rId150" Type="http://schemas.openxmlformats.org/officeDocument/2006/relationships/hyperlink" Target="https://en.wikipedia.org/wiki/B3_(stock_exchange)" TargetMode="External"/><Relationship Id="rId171" Type="http://schemas.openxmlformats.org/officeDocument/2006/relationships/hyperlink" Target="https://en.wikipedia.org/wiki/National_Stock_Exchange_of_India" TargetMode="External"/><Relationship Id="rId12" Type="http://schemas.openxmlformats.org/officeDocument/2006/relationships/hyperlink" Target="https://en.wikipedia.org/wiki/Bombay_Stock_Exchange" TargetMode="External"/><Relationship Id="rId33" Type="http://schemas.openxmlformats.org/officeDocument/2006/relationships/hyperlink" Target="https://en.wikipedia.org/wiki/Taiwan_Stock_Exchange" TargetMode="External"/><Relationship Id="rId108" Type="http://schemas.openxmlformats.org/officeDocument/2006/relationships/hyperlink" Target="https://en.wikipedia.org/wiki/Nasdaq" TargetMode="External"/><Relationship Id="rId129" Type="http://schemas.openxmlformats.org/officeDocument/2006/relationships/hyperlink" Target="https://en.wikipedia.org/wiki/Toronto_Stock_Exchange" TargetMode="External"/><Relationship Id="rId54" Type="http://schemas.openxmlformats.org/officeDocument/2006/relationships/hyperlink" Target="https://en.wikipedia.org/wiki/London_Stock_Exchange" TargetMode="External"/><Relationship Id="rId75" Type="http://schemas.openxmlformats.org/officeDocument/2006/relationships/hyperlink" Target="https://en.wikipedia.org/wiki/Deutsche_B%C3%B6rse" TargetMode="External"/><Relationship Id="rId96" Type="http://schemas.openxmlformats.org/officeDocument/2006/relationships/hyperlink" Target="https://en.wikipedia.org/wiki/Tadawul" TargetMode="External"/><Relationship Id="rId140" Type="http://schemas.openxmlformats.org/officeDocument/2006/relationships/hyperlink" Target="https://en.wikipedia.org/wiki/Deutsche_B%C3%B6rse" TargetMode="External"/><Relationship Id="rId161" Type="http://schemas.openxmlformats.org/officeDocument/2006/relationships/hyperlink" Target="https://en.wikipedia.org/wiki/Nasdaq_Nordic" TargetMode="External"/><Relationship Id="rId182" Type="http://schemas.openxmlformats.org/officeDocument/2006/relationships/hyperlink" Target="https://en.wikipedia.org/wiki/B3_(stock_exchange)" TargetMode="External"/><Relationship Id="rId6" Type="http://schemas.openxmlformats.org/officeDocument/2006/relationships/hyperlink" Target="https://en.wikipedia.org/wiki/Euronext" TargetMode="External"/><Relationship Id="rId23" Type="http://schemas.openxmlformats.org/officeDocument/2006/relationships/hyperlink" Target="https://en.wikipedia.org/wiki/B3_(stock_exchange)" TargetMode="External"/><Relationship Id="rId119" Type="http://schemas.openxmlformats.org/officeDocument/2006/relationships/hyperlink" Target="https://en.wikipedia.org/wiki/National_Stock_Exchange_of_India" TargetMode="External"/><Relationship Id="rId44" Type="http://schemas.openxmlformats.org/officeDocument/2006/relationships/hyperlink" Target="https://en.wikipedia.org/wiki/Bombay_Stock_Exchange" TargetMode="External"/><Relationship Id="rId65" Type="http://schemas.openxmlformats.org/officeDocument/2006/relationships/hyperlink" Target="https://en.wikipedia.org/wiki/Shenzhen_Stock_Exchange" TargetMode="External"/><Relationship Id="rId86" Type="http://schemas.openxmlformats.org/officeDocument/2006/relationships/hyperlink" Target="https://en.wikipedia.org/wiki/Euronext" TargetMode="External"/><Relationship Id="rId130" Type="http://schemas.openxmlformats.org/officeDocument/2006/relationships/hyperlink" Target="https://en.wikipedia.org/wiki/Nasdaq_Nordic" TargetMode="External"/><Relationship Id="rId151" Type="http://schemas.openxmlformats.org/officeDocument/2006/relationships/hyperlink" Target="https://en.wikipedia.org/wiki/Bombay_Stock_Exchange" TargetMode="External"/><Relationship Id="rId172" Type="http://schemas.openxmlformats.org/officeDocument/2006/relationships/hyperlink" Target="https://en.wikipedia.org/wiki/JSE_Limited" TargetMode="External"/><Relationship Id="rId13" Type="http://schemas.openxmlformats.org/officeDocument/2006/relationships/hyperlink" Target="https://en.wikipedia.org/wiki/Bombay_Stock_Exchange" TargetMode="External"/><Relationship Id="rId18" Type="http://schemas.openxmlformats.org/officeDocument/2006/relationships/hyperlink" Target="https://en.wikipedia.org/wiki/Shanghai_Stock_Exchange" TargetMode="External"/><Relationship Id="rId39" Type="http://schemas.openxmlformats.org/officeDocument/2006/relationships/hyperlink" Target="https://en.wikipedia.org/wiki/New_York_Stock_Exchange" TargetMode="External"/><Relationship Id="rId109" Type="http://schemas.openxmlformats.org/officeDocument/2006/relationships/hyperlink" Target="https://en.wikipedia.org/wiki/London_Stock_Exchange" TargetMode="External"/><Relationship Id="rId34" Type="http://schemas.openxmlformats.org/officeDocument/2006/relationships/hyperlink" Target="https://en.wikipedia.org/wiki/Deutsche_B%C3%B6rse" TargetMode="External"/><Relationship Id="rId50" Type="http://schemas.openxmlformats.org/officeDocument/2006/relationships/hyperlink" Target="https://en.wikipedia.org/wiki/London_Stock_Exchange" TargetMode="External"/><Relationship Id="rId55" Type="http://schemas.openxmlformats.org/officeDocument/2006/relationships/hyperlink" Target="https://en.wikipedia.org/wiki/Korea_Exchange" TargetMode="External"/><Relationship Id="rId76" Type="http://schemas.openxmlformats.org/officeDocument/2006/relationships/hyperlink" Target="https://en.wikipedia.org/wiki/B3_(stock_exchange)" TargetMode="External"/><Relationship Id="rId97" Type="http://schemas.openxmlformats.org/officeDocument/2006/relationships/hyperlink" Target="https://en.wikipedia.org/wiki/Tadawul" TargetMode="External"/><Relationship Id="rId104" Type="http://schemas.openxmlformats.org/officeDocument/2006/relationships/hyperlink" Target="https://en.wikipedia.org/wiki/B3_(stock_exchange)" TargetMode="External"/><Relationship Id="rId120" Type="http://schemas.openxmlformats.org/officeDocument/2006/relationships/hyperlink" Target="https://en.wikipedia.org/wiki/Taiwan_Stock_Exchange" TargetMode="External"/><Relationship Id="rId125" Type="http://schemas.openxmlformats.org/officeDocument/2006/relationships/hyperlink" Target="https://en.wikipedia.org/wiki/Nasdaq_Nordic" TargetMode="External"/><Relationship Id="rId141" Type="http://schemas.openxmlformats.org/officeDocument/2006/relationships/hyperlink" Target="https://en.wikipedia.org/wiki/Shenzhen_Stock_Exchange" TargetMode="External"/><Relationship Id="rId146" Type="http://schemas.openxmlformats.org/officeDocument/2006/relationships/hyperlink" Target="https://en.wikipedia.org/wiki/Tadawul" TargetMode="External"/><Relationship Id="rId167" Type="http://schemas.openxmlformats.org/officeDocument/2006/relationships/hyperlink" Target="https://en.wikipedia.org/wiki/Tadawul" TargetMode="External"/><Relationship Id="rId7" Type="http://schemas.openxmlformats.org/officeDocument/2006/relationships/hyperlink" Target="https://en.wikipedia.org/wiki/Korea_Exchange" TargetMode="External"/><Relationship Id="rId71" Type="http://schemas.openxmlformats.org/officeDocument/2006/relationships/hyperlink" Target="https://en.wikipedia.org/wiki/Euronext" TargetMode="External"/><Relationship Id="rId92" Type="http://schemas.openxmlformats.org/officeDocument/2006/relationships/hyperlink" Target="https://en.wikipedia.org/wiki/Nasdaq_Nordic" TargetMode="External"/><Relationship Id="rId162" Type="http://schemas.openxmlformats.org/officeDocument/2006/relationships/hyperlink" Target="https://en.wikipedia.org/wiki/Shanghai_Stock_Exchange" TargetMode="External"/><Relationship Id="rId183" Type="http://schemas.openxmlformats.org/officeDocument/2006/relationships/hyperlink" Target="https://en.wikipedia.org/wiki/Taiwan_Stock_Exchange" TargetMode="External"/><Relationship Id="rId2" Type="http://schemas.openxmlformats.org/officeDocument/2006/relationships/hyperlink" Target="https://en.wikipedia.org/wiki/Tehran_Stock_Exchange" TargetMode="External"/><Relationship Id="rId29" Type="http://schemas.openxmlformats.org/officeDocument/2006/relationships/hyperlink" Target="https://en.wikipedia.org/wiki/Bombay_Stock_Exchange" TargetMode="External"/><Relationship Id="rId24" Type="http://schemas.openxmlformats.org/officeDocument/2006/relationships/hyperlink" Target="https://en.wikipedia.org/wiki/Nasdaq" TargetMode="External"/><Relationship Id="rId40" Type="http://schemas.openxmlformats.org/officeDocument/2006/relationships/hyperlink" Target="https://en.wikipedia.org/wiki/Tehran_Stock_Exchange" TargetMode="External"/><Relationship Id="rId45" Type="http://schemas.openxmlformats.org/officeDocument/2006/relationships/hyperlink" Target="https://en.wikipedia.org/wiki/Shanghai_Stock_Exchange" TargetMode="External"/><Relationship Id="rId66" Type="http://schemas.openxmlformats.org/officeDocument/2006/relationships/hyperlink" Target="https://en.wikipedia.org/wiki/B3_(stock_exchange)" TargetMode="External"/><Relationship Id="rId87" Type="http://schemas.openxmlformats.org/officeDocument/2006/relationships/hyperlink" Target="https://en.wikipedia.org/wiki/Bombay_Stock_Exchange" TargetMode="External"/><Relationship Id="rId110" Type="http://schemas.openxmlformats.org/officeDocument/2006/relationships/hyperlink" Target="https://en.wikipedia.org/wiki/Bombay_Stock_Exchange" TargetMode="External"/><Relationship Id="rId115" Type="http://schemas.openxmlformats.org/officeDocument/2006/relationships/hyperlink" Target="https://en.wikipedia.org/wiki/JSE_Limited" TargetMode="External"/><Relationship Id="rId131" Type="http://schemas.openxmlformats.org/officeDocument/2006/relationships/hyperlink" Target="https://en.wikipedia.org/wiki/Toronto_Stock_Exchange" TargetMode="External"/><Relationship Id="rId136" Type="http://schemas.openxmlformats.org/officeDocument/2006/relationships/hyperlink" Target="https://en.wikipedia.org/wiki/London_Stock_Exchange" TargetMode="External"/><Relationship Id="rId157" Type="http://schemas.openxmlformats.org/officeDocument/2006/relationships/hyperlink" Target="https://en.wikipedia.org/wiki/Korea_Exchange" TargetMode="External"/><Relationship Id="rId178" Type="http://schemas.openxmlformats.org/officeDocument/2006/relationships/hyperlink" Target="https://en.wikipedia.org/wiki/Shenzhen_Stock_Exchange" TargetMode="External"/><Relationship Id="rId61" Type="http://schemas.openxmlformats.org/officeDocument/2006/relationships/hyperlink" Target="https://en.wikipedia.org/wiki/Tehran_Stock_Exchange" TargetMode="External"/><Relationship Id="rId82" Type="http://schemas.openxmlformats.org/officeDocument/2006/relationships/hyperlink" Target="https://en.wikipedia.org/wiki/Nasdaq" TargetMode="External"/><Relationship Id="rId152" Type="http://schemas.openxmlformats.org/officeDocument/2006/relationships/hyperlink" Target="https://en.wikipedia.org/wiki/Shanghai_Stock_Exchange" TargetMode="External"/><Relationship Id="rId173" Type="http://schemas.openxmlformats.org/officeDocument/2006/relationships/hyperlink" Target="https://en.wikipedia.org/wiki/Japan_Exchange_Group" TargetMode="External"/><Relationship Id="rId19" Type="http://schemas.openxmlformats.org/officeDocument/2006/relationships/hyperlink" Target="https://en.wikipedia.org/wiki/National_Stock_Exchange_of_India" TargetMode="External"/><Relationship Id="rId14" Type="http://schemas.openxmlformats.org/officeDocument/2006/relationships/hyperlink" Target="https://en.wikipedia.org/wiki/Tadawul" TargetMode="External"/><Relationship Id="rId30" Type="http://schemas.openxmlformats.org/officeDocument/2006/relationships/hyperlink" Target="https://en.wikipedia.org/wiki/Deutsche_B%C3%B6rse" TargetMode="External"/><Relationship Id="rId35" Type="http://schemas.openxmlformats.org/officeDocument/2006/relationships/hyperlink" Target="https://en.wikipedia.org/wiki/SIX_Swiss_Exchange" TargetMode="External"/><Relationship Id="rId56" Type="http://schemas.openxmlformats.org/officeDocument/2006/relationships/hyperlink" Target="https://en.wikipedia.org/wiki/JSE_Limited" TargetMode="External"/><Relationship Id="rId77" Type="http://schemas.openxmlformats.org/officeDocument/2006/relationships/hyperlink" Target="https://en.wikipedia.org/wiki/Taiwan_Stock_Exchange" TargetMode="External"/><Relationship Id="rId100" Type="http://schemas.openxmlformats.org/officeDocument/2006/relationships/hyperlink" Target="https://en.wikipedia.org/wiki/Hong_Kong_Stock_Exchange" TargetMode="External"/><Relationship Id="rId105" Type="http://schemas.openxmlformats.org/officeDocument/2006/relationships/hyperlink" Target="https://en.wikipedia.org/wiki/Tehran_Stock_Exchange" TargetMode="External"/><Relationship Id="rId126" Type="http://schemas.openxmlformats.org/officeDocument/2006/relationships/hyperlink" Target="https://en.wikipedia.org/wiki/Deutsche_B%C3%B6rse" TargetMode="External"/><Relationship Id="rId147" Type="http://schemas.openxmlformats.org/officeDocument/2006/relationships/hyperlink" Target="https://en.wikipedia.org/wiki/Nasdaq" TargetMode="External"/><Relationship Id="rId168" Type="http://schemas.openxmlformats.org/officeDocument/2006/relationships/hyperlink" Target="https://en.wikipedia.org/wiki/Tadawul" TargetMode="External"/><Relationship Id="rId8" Type="http://schemas.openxmlformats.org/officeDocument/2006/relationships/hyperlink" Target="https://en.wikipedia.org/wiki/JSE_Limited" TargetMode="External"/><Relationship Id="rId51" Type="http://schemas.openxmlformats.org/officeDocument/2006/relationships/hyperlink" Target="https://en.wikipedia.org/wiki/Nasdaq" TargetMode="External"/><Relationship Id="rId72" Type="http://schemas.openxmlformats.org/officeDocument/2006/relationships/hyperlink" Target="https://en.wikipedia.org/wiki/SIX_Swiss_Exchange" TargetMode="External"/><Relationship Id="rId93" Type="http://schemas.openxmlformats.org/officeDocument/2006/relationships/hyperlink" Target="https://en.wikipedia.org/wiki/National_Stock_Exchange_of_India" TargetMode="External"/><Relationship Id="rId98" Type="http://schemas.openxmlformats.org/officeDocument/2006/relationships/hyperlink" Target="https://en.wikipedia.org/wiki/Nasdaq" TargetMode="External"/><Relationship Id="rId121" Type="http://schemas.openxmlformats.org/officeDocument/2006/relationships/hyperlink" Target="https://en.wikipedia.org/wiki/New_York_Stock_Exchange" TargetMode="External"/><Relationship Id="rId142" Type="http://schemas.openxmlformats.org/officeDocument/2006/relationships/hyperlink" Target="https://en.wikipedia.org/wiki/Shenzhen_Stock_Exchange" TargetMode="External"/><Relationship Id="rId163" Type="http://schemas.openxmlformats.org/officeDocument/2006/relationships/hyperlink" Target="https://en.wikipedia.org/wiki/Deutsche_B%C3%B6rse" TargetMode="External"/><Relationship Id="rId184" Type="http://schemas.openxmlformats.org/officeDocument/2006/relationships/hyperlink" Target="https://en.wikipedia.org/wiki/B3_(stock_exchange)" TargetMode="External"/><Relationship Id="rId3" Type="http://schemas.openxmlformats.org/officeDocument/2006/relationships/hyperlink" Target="https://en.wikipedia.org/wiki/National_Stock_Exchange_of_India" TargetMode="External"/><Relationship Id="rId25" Type="http://schemas.openxmlformats.org/officeDocument/2006/relationships/hyperlink" Target="https://en.wikipedia.org/wiki/Toronto_Stock_Exchange" TargetMode="External"/><Relationship Id="rId46" Type="http://schemas.openxmlformats.org/officeDocument/2006/relationships/hyperlink" Target="https://en.wikipedia.org/wiki/Deutsche_B%C3%B6rse" TargetMode="External"/><Relationship Id="rId67" Type="http://schemas.openxmlformats.org/officeDocument/2006/relationships/hyperlink" Target="https://en.wikipedia.org/wiki/New_York_Stock_Exchange" TargetMode="External"/><Relationship Id="rId116" Type="http://schemas.openxmlformats.org/officeDocument/2006/relationships/hyperlink" Target="https://en.wikipedia.org/wiki/Tehran_Stock_Exchange" TargetMode="External"/><Relationship Id="rId137" Type="http://schemas.openxmlformats.org/officeDocument/2006/relationships/hyperlink" Target="https://en.wikipedia.org/wiki/Korea_Exchange" TargetMode="External"/><Relationship Id="rId158" Type="http://schemas.openxmlformats.org/officeDocument/2006/relationships/hyperlink" Target="https://en.wikipedia.org/wiki/Shanghai_Stock_Exchange" TargetMode="External"/><Relationship Id="rId20" Type="http://schemas.openxmlformats.org/officeDocument/2006/relationships/hyperlink" Target="https://en.wikipedia.org/wiki/Japan_Exchange_Group" TargetMode="External"/><Relationship Id="rId41" Type="http://schemas.openxmlformats.org/officeDocument/2006/relationships/hyperlink" Target="https://en.wikipedia.org/wiki/New_York_Stock_Exchange" TargetMode="External"/><Relationship Id="rId62" Type="http://schemas.openxmlformats.org/officeDocument/2006/relationships/hyperlink" Target="https://en.wikipedia.org/wiki/B3_(stock_exchange)" TargetMode="External"/><Relationship Id="rId83" Type="http://schemas.openxmlformats.org/officeDocument/2006/relationships/hyperlink" Target="https://en.wikipedia.org/wiki/Nasdaq_Nordic" TargetMode="External"/><Relationship Id="rId88" Type="http://schemas.openxmlformats.org/officeDocument/2006/relationships/hyperlink" Target="https://en.wikipedia.org/wiki/B3_(stock_exchange)" TargetMode="External"/><Relationship Id="rId111" Type="http://schemas.openxmlformats.org/officeDocument/2006/relationships/hyperlink" Target="https://en.wikipedia.org/wiki/National_Stock_Exchange_of_India" TargetMode="External"/><Relationship Id="rId132" Type="http://schemas.openxmlformats.org/officeDocument/2006/relationships/hyperlink" Target="https://en.wikipedia.org/wiki/Shenzhen_Stock_Exchange" TargetMode="External"/><Relationship Id="rId153" Type="http://schemas.openxmlformats.org/officeDocument/2006/relationships/hyperlink" Target="https://en.wikipedia.org/wiki/Euronext" TargetMode="External"/><Relationship Id="rId174" Type="http://schemas.openxmlformats.org/officeDocument/2006/relationships/hyperlink" Target="https://en.wikipedia.org/wiki/Deutsche_B%C3%B6rse" TargetMode="External"/><Relationship Id="rId179" Type="http://schemas.openxmlformats.org/officeDocument/2006/relationships/hyperlink" Target="https://en.wikipedia.org/wiki/JSE_Limited" TargetMode="External"/><Relationship Id="rId15" Type="http://schemas.openxmlformats.org/officeDocument/2006/relationships/hyperlink" Target="https://en.wikipedia.org/wiki/JSE_Limited" TargetMode="External"/><Relationship Id="rId36" Type="http://schemas.openxmlformats.org/officeDocument/2006/relationships/hyperlink" Target="https://en.wikipedia.org/wiki/Euronext" TargetMode="External"/><Relationship Id="rId57" Type="http://schemas.openxmlformats.org/officeDocument/2006/relationships/hyperlink" Target="https://en.wikipedia.org/wiki/Japan_Exchange_Group" TargetMode="External"/><Relationship Id="rId106" Type="http://schemas.openxmlformats.org/officeDocument/2006/relationships/hyperlink" Target="https://en.wikipedia.org/wiki/Japan_Exchange_Group" TargetMode="External"/><Relationship Id="rId127" Type="http://schemas.openxmlformats.org/officeDocument/2006/relationships/hyperlink" Target="https://en.wikipedia.org/wiki/London_Stock_Exchange" TargetMode="External"/><Relationship Id="rId10" Type="http://schemas.openxmlformats.org/officeDocument/2006/relationships/hyperlink" Target="https://en.wikipedia.org/wiki/Euronext" TargetMode="External"/><Relationship Id="rId31" Type="http://schemas.openxmlformats.org/officeDocument/2006/relationships/hyperlink" Target="https://en.wikipedia.org/wiki/London_Stock_Exchange" TargetMode="External"/><Relationship Id="rId52" Type="http://schemas.openxmlformats.org/officeDocument/2006/relationships/hyperlink" Target="https://en.wikipedia.org/wiki/SIX_Swiss_Exchange" TargetMode="External"/><Relationship Id="rId73" Type="http://schemas.openxmlformats.org/officeDocument/2006/relationships/hyperlink" Target="https://en.wikipedia.org/wiki/B3_(stock_exchange)" TargetMode="External"/><Relationship Id="rId78" Type="http://schemas.openxmlformats.org/officeDocument/2006/relationships/hyperlink" Target="https://en.wikipedia.org/wiki/Bombay_Stock_Exchange" TargetMode="External"/><Relationship Id="rId94" Type="http://schemas.openxmlformats.org/officeDocument/2006/relationships/hyperlink" Target="https://en.wikipedia.org/wiki/Toronto_Stock_Exchange" TargetMode="External"/><Relationship Id="rId99" Type="http://schemas.openxmlformats.org/officeDocument/2006/relationships/hyperlink" Target="https://en.wikipedia.org/wiki/B3_(stock_exchange)" TargetMode="External"/><Relationship Id="rId101" Type="http://schemas.openxmlformats.org/officeDocument/2006/relationships/hyperlink" Target="https://en.wikipedia.org/wiki/Euronext" TargetMode="External"/><Relationship Id="rId122" Type="http://schemas.openxmlformats.org/officeDocument/2006/relationships/hyperlink" Target="https://en.wikipedia.org/wiki/Toronto_Stock_Exchange" TargetMode="External"/><Relationship Id="rId143" Type="http://schemas.openxmlformats.org/officeDocument/2006/relationships/hyperlink" Target="https://en.wikipedia.org/wiki/Deutsche_B%C3%B6rse" TargetMode="External"/><Relationship Id="rId148" Type="http://schemas.openxmlformats.org/officeDocument/2006/relationships/hyperlink" Target="https://en.wikipedia.org/wiki/Shanghai_Stock_Exchange" TargetMode="External"/><Relationship Id="rId164" Type="http://schemas.openxmlformats.org/officeDocument/2006/relationships/hyperlink" Target="https://en.wikipedia.org/wiki/New_York_Stock_Exchange" TargetMode="External"/><Relationship Id="rId169" Type="http://schemas.openxmlformats.org/officeDocument/2006/relationships/hyperlink" Target="https://en.wikipedia.org/wiki/Tadawul" TargetMode="External"/><Relationship Id="rId185" Type="http://schemas.openxmlformats.org/officeDocument/2006/relationships/printerSettings" Target="../printerSettings/printerSettings1.bin"/><Relationship Id="rId4" Type="http://schemas.openxmlformats.org/officeDocument/2006/relationships/hyperlink" Target="https://en.wikipedia.org/wiki/SIX_Swiss_Exchange" TargetMode="External"/><Relationship Id="rId9" Type="http://schemas.openxmlformats.org/officeDocument/2006/relationships/hyperlink" Target="https://en.wikipedia.org/wiki/Toronto_Stock_Exchange" TargetMode="External"/><Relationship Id="rId180" Type="http://schemas.openxmlformats.org/officeDocument/2006/relationships/hyperlink" Target="https://en.wikipedia.org/wiki/B3_(stock_exchange)" TargetMode="External"/><Relationship Id="rId26" Type="http://schemas.openxmlformats.org/officeDocument/2006/relationships/hyperlink" Target="https://en.wikipedia.org/wiki/B3_(stock_exchange)" TargetMode="External"/><Relationship Id="rId47" Type="http://schemas.openxmlformats.org/officeDocument/2006/relationships/hyperlink" Target="https://en.wikipedia.org/wiki/Hong_Kong_Stock_Exchange" TargetMode="External"/><Relationship Id="rId68" Type="http://schemas.openxmlformats.org/officeDocument/2006/relationships/hyperlink" Target="https://en.wikipedia.org/wiki/Bombay_Stock_Exchange" TargetMode="External"/><Relationship Id="rId89" Type="http://schemas.openxmlformats.org/officeDocument/2006/relationships/hyperlink" Target="https://en.wikipedia.org/wiki/New_York_Stock_Exchange" TargetMode="External"/><Relationship Id="rId112" Type="http://schemas.openxmlformats.org/officeDocument/2006/relationships/hyperlink" Target="https://en.wikipedia.org/wiki/Hong_Kong_Stock_Exchange" TargetMode="External"/><Relationship Id="rId133" Type="http://schemas.openxmlformats.org/officeDocument/2006/relationships/hyperlink" Target="https://en.wikipedia.org/wiki/Nasdaq_Nordic" TargetMode="External"/><Relationship Id="rId154" Type="http://schemas.openxmlformats.org/officeDocument/2006/relationships/hyperlink" Target="https://en.wikipedia.org/wiki/New_York_Stock_Exchange" TargetMode="External"/><Relationship Id="rId175" Type="http://schemas.openxmlformats.org/officeDocument/2006/relationships/hyperlink" Target="https://en.wikipedia.org/wiki/Bombay_Stock_Exchange" TargetMode="External"/><Relationship Id="rId16" Type="http://schemas.openxmlformats.org/officeDocument/2006/relationships/hyperlink" Target="https://en.wikipedia.org/wiki/Japan_Exchange_Group" TargetMode="External"/><Relationship Id="rId37" Type="http://schemas.openxmlformats.org/officeDocument/2006/relationships/hyperlink" Target="https://en.wikipedia.org/wiki/Taiwan_Stock_Exchange" TargetMode="External"/><Relationship Id="rId58" Type="http://schemas.openxmlformats.org/officeDocument/2006/relationships/hyperlink" Target="https://en.wikipedia.org/wiki/Shenzhen_Stock_Exchange" TargetMode="External"/><Relationship Id="rId79" Type="http://schemas.openxmlformats.org/officeDocument/2006/relationships/hyperlink" Target="https://en.wikipedia.org/wiki/Japan_Exchange_Group" TargetMode="External"/><Relationship Id="rId102" Type="http://schemas.openxmlformats.org/officeDocument/2006/relationships/hyperlink" Target="https://en.wikipedia.org/wiki/B3_(stock_exchange)" TargetMode="External"/><Relationship Id="rId123" Type="http://schemas.openxmlformats.org/officeDocument/2006/relationships/hyperlink" Target="https://en.wikipedia.org/wiki/Deutsche_B%C3%B6rse" TargetMode="External"/><Relationship Id="rId144" Type="http://schemas.openxmlformats.org/officeDocument/2006/relationships/hyperlink" Target="https://en.wikipedia.org/wiki/Bombay_Stock_Exchange" TargetMode="External"/><Relationship Id="rId90" Type="http://schemas.openxmlformats.org/officeDocument/2006/relationships/hyperlink" Target="https://en.wikipedia.org/wiki/Euronext" TargetMode="External"/><Relationship Id="rId165" Type="http://schemas.openxmlformats.org/officeDocument/2006/relationships/hyperlink" Target="https://en.wikipedia.org/wiki/Tehran_Stock_Exchange" TargetMode="External"/><Relationship Id="rId27" Type="http://schemas.openxmlformats.org/officeDocument/2006/relationships/hyperlink" Target="https://en.wikipedia.org/wiki/Korea_Exchange" TargetMode="External"/><Relationship Id="rId48" Type="http://schemas.openxmlformats.org/officeDocument/2006/relationships/hyperlink" Target="https://en.wikipedia.org/wiki/Toronto_Stock_Exchange" TargetMode="External"/><Relationship Id="rId69" Type="http://schemas.openxmlformats.org/officeDocument/2006/relationships/hyperlink" Target="https://en.wikipedia.org/wiki/Nasdaq" TargetMode="External"/><Relationship Id="rId113" Type="http://schemas.openxmlformats.org/officeDocument/2006/relationships/hyperlink" Target="https://en.wikipedia.org/wiki/SIX_Swiss_Exchange" TargetMode="External"/><Relationship Id="rId134" Type="http://schemas.openxmlformats.org/officeDocument/2006/relationships/hyperlink" Target="https://en.wikipedia.org/wiki/Shenzhen_Stock_Exchange" TargetMode="External"/><Relationship Id="rId80" Type="http://schemas.openxmlformats.org/officeDocument/2006/relationships/hyperlink" Target="https://en.wikipedia.org/wiki/Shanghai_Stock_Exchange" TargetMode="External"/><Relationship Id="rId155" Type="http://schemas.openxmlformats.org/officeDocument/2006/relationships/hyperlink" Target="https://en.wikipedia.org/wiki/London_Stock_Exchange" TargetMode="External"/><Relationship Id="rId176" Type="http://schemas.openxmlformats.org/officeDocument/2006/relationships/hyperlink" Target="https://en.wikipedia.org/wiki/Hong_Kong_Stock_Exchange" TargetMode="External"/><Relationship Id="rId17" Type="http://schemas.openxmlformats.org/officeDocument/2006/relationships/hyperlink" Target="https://en.wikipedia.org/wiki/Hong_Kong_Stock_Exchange" TargetMode="External"/><Relationship Id="rId38" Type="http://schemas.openxmlformats.org/officeDocument/2006/relationships/hyperlink" Target="https://en.wikipedia.org/wiki/Deutsche_B%C3%B6rse" TargetMode="External"/><Relationship Id="rId59" Type="http://schemas.openxmlformats.org/officeDocument/2006/relationships/hyperlink" Target="https://en.wikipedia.org/wiki/Deutsche_B%C3%B6rse" TargetMode="External"/><Relationship Id="rId103" Type="http://schemas.openxmlformats.org/officeDocument/2006/relationships/hyperlink" Target="https://en.wikipedia.org/wiki/SIX_Swiss_Exchange" TargetMode="External"/><Relationship Id="rId124" Type="http://schemas.openxmlformats.org/officeDocument/2006/relationships/hyperlink" Target="https://en.wikipedia.org/wiki/Nasdaq" TargetMode="External"/><Relationship Id="rId70" Type="http://schemas.openxmlformats.org/officeDocument/2006/relationships/hyperlink" Target="https://en.wikipedia.org/wiki/Hong_Kong_Stock_Exchange" TargetMode="External"/><Relationship Id="rId91" Type="http://schemas.openxmlformats.org/officeDocument/2006/relationships/hyperlink" Target="https://en.wikipedia.org/wiki/Nasdaq_Nordic" TargetMode="External"/><Relationship Id="rId145" Type="http://schemas.openxmlformats.org/officeDocument/2006/relationships/hyperlink" Target="https://en.wikipedia.org/wiki/Bombay_Stock_Exchange" TargetMode="External"/><Relationship Id="rId166" Type="http://schemas.openxmlformats.org/officeDocument/2006/relationships/hyperlink" Target="https://en.wikipedia.org/wiki/New_York_Stock_Exchange" TargetMode="External"/><Relationship Id="rId1" Type="http://schemas.openxmlformats.org/officeDocument/2006/relationships/hyperlink" Target="https://en.wikipedia.org/wiki/Bombay_Stock_Exchange" TargetMode="External"/><Relationship Id="rId28" Type="http://schemas.openxmlformats.org/officeDocument/2006/relationships/hyperlink" Target="https://en.wikipedia.org/wiki/Bombay_Stock_Exchange" TargetMode="External"/><Relationship Id="rId49" Type="http://schemas.openxmlformats.org/officeDocument/2006/relationships/hyperlink" Target="https://en.wikipedia.org/wiki/Korea_Exchange" TargetMode="External"/><Relationship Id="rId114" Type="http://schemas.openxmlformats.org/officeDocument/2006/relationships/hyperlink" Target="https://en.wikipedia.org/wiki/Deutsche_B%C3%B6rse" TargetMode="External"/><Relationship Id="rId60" Type="http://schemas.openxmlformats.org/officeDocument/2006/relationships/hyperlink" Target="https://en.wikipedia.org/wiki/Tadawul" TargetMode="External"/><Relationship Id="rId81" Type="http://schemas.openxmlformats.org/officeDocument/2006/relationships/hyperlink" Target="https://en.wikipedia.org/wiki/Nasdaq_Nordic" TargetMode="External"/><Relationship Id="rId135" Type="http://schemas.openxmlformats.org/officeDocument/2006/relationships/hyperlink" Target="https://en.wikipedia.org/wiki/JSE_Limited" TargetMode="External"/><Relationship Id="rId156" Type="http://schemas.openxmlformats.org/officeDocument/2006/relationships/hyperlink" Target="https://en.wikipedia.org/wiki/Korea_Exchange" TargetMode="External"/><Relationship Id="rId177" Type="http://schemas.openxmlformats.org/officeDocument/2006/relationships/hyperlink" Target="https://en.wikipedia.org/wiki/Shanghai_Stock_Exchang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5546875" defaultRowHeight="15.75" customHeight="1"/>
  <cols>
    <col min="2" max="2" width="33.88671875" customWidth="1"/>
    <col min="6" max="6" width="13.6640625" customWidth="1"/>
  </cols>
  <sheetData>
    <row r="1" spans="1:9" ht="1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14.4">
      <c r="A2" s="3" t="s">
        <v>8</v>
      </c>
      <c r="B2" s="4" t="s">
        <v>9</v>
      </c>
      <c r="C2" s="5" t="s">
        <v>10</v>
      </c>
      <c r="D2" s="6">
        <v>44841</v>
      </c>
      <c r="E2" s="7">
        <v>7</v>
      </c>
      <c r="F2" s="7">
        <v>0.28318547112501802</v>
      </c>
      <c r="G2" s="6">
        <v>45092</v>
      </c>
      <c r="H2" s="7">
        <v>0.557129814707503</v>
      </c>
      <c r="I2" s="5"/>
    </row>
    <row r="3" spans="1:9" ht="14.4">
      <c r="A3" s="3" t="s">
        <v>11</v>
      </c>
      <c r="B3" s="4" t="s">
        <v>12</v>
      </c>
      <c r="C3" s="5" t="s">
        <v>13</v>
      </c>
      <c r="D3" s="6">
        <v>44200</v>
      </c>
      <c r="E3" s="7">
        <v>2</v>
      </c>
      <c r="F3" s="7">
        <v>0.64142747007026002</v>
      </c>
      <c r="G3" s="6">
        <v>45039</v>
      </c>
      <c r="H3" s="7">
        <v>0.88983597888511301</v>
      </c>
      <c r="I3" s="5"/>
    </row>
    <row r="4" spans="1:9" ht="14.4">
      <c r="A4" s="3" t="s">
        <v>14</v>
      </c>
      <c r="B4" s="4" t="s">
        <v>15</v>
      </c>
      <c r="C4" s="5" t="s">
        <v>10</v>
      </c>
      <c r="D4" s="6">
        <v>44519</v>
      </c>
      <c r="E4" s="7">
        <v>6</v>
      </c>
      <c r="F4" s="7">
        <v>0.98092817996517101</v>
      </c>
      <c r="G4" s="6">
        <v>44968</v>
      </c>
      <c r="H4" s="7">
        <v>0.72256312699759195</v>
      </c>
      <c r="I4" s="5"/>
    </row>
    <row r="5" spans="1:9" ht="14.4">
      <c r="A5" s="3" t="s">
        <v>16</v>
      </c>
      <c r="B5" s="4" t="s">
        <v>17</v>
      </c>
      <c r="C5" s="5" t="s">
        <v>18</v>
      </c>
      <c r="D5" s="6">
        <v>44664</v>
      </c>
      <c r="E5" s="7">
        <v>1</v>
      </c>
      <c r="F5" s="7">
        <v>0.46027529609517198</v>
      </c>
      <c r="G5" s="6">
        <v>44971</v>
      </c>
      <c r="H5" s="7">
        <v>0.82793169583258497</v>
      </c>
      <c r="I5" s="5"/>
    </row>
    <row r="6" spans="1:9" ht="14.4">
      <c r="A6" s="3" t="s">
        <v>19</v>
      </c>
      <c r="B6" s="4" t="s">
        <v>9</v>
      </c>
      <c r="C6" s="5" t="s">
        <v>10</v>
      </c>
      <c r="D6" s="6">
        <v>44351</v>
      </c>
      <c r="E6" s="7">
        <v>9</v>
      </c>
      <c r="F6" s="7">
        <v>0.55179844990216698</v>
      </c>
      <c r="G6" s="6">
        <v>44977</v>
      </c>
      <c r="H6" s="7">
        <v>0.19789786446941801</v>
      </c>
      <c r="I6" s="5"/>
    </row>
    <row r="7" spans="1:9" ht="14.4">
      <c r="A7" s="3" t="s">
        <v>20</v>
      </c>
      <c r="B7" s="4" t="s">
        <v>21</v>
      </c>
      <c r="C7" s="5" t="s">
        <v>22</v>
      </c>
      <c r="D7" s="6">
        <v>44529</v>
      </c>
      <c r="E7" s="7">
        <v>1</v>
      </c>
      <c r="F7" s="7">
        <v>0.30386848867018701</v>
      </c>
      <c r="G7" s="6">
        <v>44969</v>
      </c>
      <c r="H7" s="7">
        <v>0.97814412656590199</v>
      </c>
      <c r="I7" s="5"/>
    </row>
    <row r="8" spans="1:9" ht="14.4">
      <c r="A8" s="3" t="s">
        <v>23</v>
      </c>
      <c r="B8" s="4" t="s">
        <v>24</v>
      </c>
      <c r="C8" s="5" t="s">
        <v>25</v>
      </c>
      <c r="D8" s="6">
        <v>44500</v>
      </c>
      <c r="E8" s="7">
        <v>3</v>
      </c>
      <c r="F8" s="7">
        <v>0.100945559071712</v>
      </c>
      <c r="G8" s="6">
        <v>44930</v>
      </c>
      <c r="H8" s="7">
        <v>0.407405377776074</v>
      </c>
      <c r="I8" s="5"/>
    </row>
    <row r="9" spans="1:9" ht="14.4">
      <c r="A9" s="3" t="s">
        <v>26</v>
      </c>
      <c r="B9" s="4" t="s">
        <v>27</v>
      </c>
      <c r="C9" s="5" t="s">
        <v>28</v>
      </c>
      <c r="D9" s="6">
        <v>44584</v>
      </c>
      <c r="E9" s="7">
        <v>4</v>
      </c>
      <c r="F9" s="7">
        <v>0.13652069785058399</v>
      </c>
      <c r="G9" s="6">
        <v>44991</v>
      </c>
      <c r="H9" s="7">
        <v>0.38969057106772598</v>
      </c>
      <c r="I9" s="5"/>
    </row>
    <row r="10" spans="1:9" ht="14.4">
      <c r="A10" s="3" t="s">
        <v>29</v>
      </c>
      <c r="B10" s="4" t="s">
        <v>30</v>
      </c>
      <c r="C10" s="5" t="s">
        <v>31</v>
      </c>
      <c r="D10" s="6">
        <v>44472</v>
      </c>
      <c r="E10" s="7">
        <v>10</v>
      </c>
      <c r="F10" s="7">
        <v>0.41670439236003598</v>
      </c>
      <c r="G10" s="6">
        <v>45045</v>
      </c>
      <c r="H10" s="7">
        <v>0.54934508287877304</v>
      </c>
      <c r="I10" s="5"/>
    </row>
    <row r="11" spans="1:9" ht="14.4">
      <c r="A11" s="3" t="s">
        <v>32</v>
      </c>
      <c r="B11" s="4" t="s">
        <v>21</v>
      </c>
      <c r="C11" s="5" t="s">
        <v>22</v>
      </c>
      <c r="D11" s="6">
        <v>44587</v>
      </c>
      <c r="E11" s="7">
        <v>6</v>
      </c>
      <c r="F11" s="7">
        <v>0.24316986891245501</v>
      </c>
      <c r="G11" s="6">
        <v>44987</v>
      </c>
      <c r="H11" s="7">
        <v>0.420232824731951</v>
      </c>
      <c r="I11" s="5"/>
    </row>
    <row r="12" spans="1:9" ht="14.4">
      <c r="A12" s="3" t="s">
        <v>33</v>
      </c>
      <c r="B12" s="4" t="s">
        <v>34</v>
      </c>
      <c r="C12" s="5" t="s">
        <v>35</v>
      </c>
      <c r="D12" s="6">
        <v>44407</v>
      </c>
      <c r="E12" s="7">
        <v>5</v>
      </c>
      <c r="F12" s="7">
        <v>0.80079383386161695</v>
      </c>
      <c r="G12" s="6">
        <v>44996</v>
      </c>
      <c r="H12" s="7">
        <v>0.89666229529100405</v>
      </c>
      <c r="I12" s="5"/>
    </row>
    <row r="13" spans="1:9" ht="14.4">
      <c r="A13" s="3" t="s">
        <v>36</v>
      </c>
      <c r="B13" s="4" t="s">
        <v>9</v>
      </c>
      <c r="C13" s="5" t="s">
        <v>10</v>
      </c>
      <c r="D13" s="6">
        <v>44543</v>
      </c>
      <c r="E13" s="7">
        <v>10</v>
      </c>
      <c r="F13" s="7">
        <v>0.638981266676107</v>
      </c>
      <c r="G13" s="6">
        <v>45031</v>
      </c>
      <c r="H13" s="7">
        <v>0.77496721699985804</v>
      </c>
      <c r="I13" s="5"/>
    </row>
    <row r="14" spans="1:9" ht="14.4">
      <c r="A14" s="3" t="s">
        <v>37</v>
      </c>
      <c r="B14" s="4" t="s">
        <v>9</v>
      </c>
      <c r="C14" s="5" t="s">
        <v>10</v>
      </c>
      <c r="D14" s="6">
        <v>44925</v>
      </c>
      <c r="E14" s="7">
        <v>8</v>
      </c>
      <c r="F14" s="7">
        <v>0.34625418958602699</v>
      </c>
      <c r="G14" s="6">
        <v>45034</v>
      </c>
      <c r="H14" s="7">
        <v>0.71065052633396197</v>
      </c>
      <c r="I14" s="5"/>
    </row>
    <row r="15" spans="1:9" ht="14.4">
      <c r="A15" s="3" t="s">
        <v>38</v>
      </c>
      <c r="B15" s="4" t="s">
        <v>39</v>
      </c>
      <c r="C15" s="5" t="s">
        <v>40</v>
      </c>
      <c r="D15" s="6">
        <v>44355</v>
      </c>
      <c r="E15" s="7">
        <v>6</v>
      </c>
      <c r="F15" s="7">
        <v>0.36584758654187899</v>
      </c>
      <c r="G15" s="6">
        <v>45023</v>
      </c>
      <c r="H15" s="7">
        <v>0.45311698845143</v>
      </c>
      <c r="I15" s="5"/>
    </row>
    <row r="16" spans="1:9" ht="14.4">
      <c r="A16" s="3" t="s">
        <v>41</v>
      </c>
      <c r="B16" s="4" t="s">
        <v>27</v>
      </c>
      <c r="C16" s="5" t="s">
        <v>28</v>
      </c>
      <c r="D16" s="6">
        <v>44710</v>
      </c>
      <c r="E16" s="7">
        <v>6</v>
      </c>
      <c r="F16" s="7">
        <v>0.379060395757914</v>
      </c>
      <c r="G16" s="6">
        <v>44977</v>
      </c>
      <c r="H16" s="7">
        <v>0.31616207722275602</v>
      </c>
      <c r="I16" s="5"/>
    </row>
    <row r="17" spans="1:9" ht="14.4">
      <c r="A17" s="3" t="s">
        <v>42</v>
      </c>
      <c r="B17" s="4" t="s">
        <v>43</v>
      </c>
      <c r="C17" s="5" t="s">
        <v>44</v>
      </c>
      <c r="D17" s="6">
        <v>44922</v>
      </c>
      <c r="E17" s="7">
        <v>8</v>
      </c>
      <c r="F17" s="7">
        <v>0.72895214290311094</v>
      </c>
      <c r="G17" s="6">
        <v>45000</v>
      </c>
      <c r="H17" s="7">
        <v>0.22418004410534101</v>
      </c>
      <c r="I17" s="5"/>
    </row>
    <row r="18" spans="1:9" ht="14.4">
      <c r="A18" s="3" t="s">
        <v>45</v>
      </c>
      <c r="B18" s="4" t="s">
        <v>46</v>
      </c>
      <c r="C18" s="5" t="s">
        <v>47</v>
      </c>
      <c r="D18" s="6">
        <v>44294</v>
      </c>
      <c r="E18" s="7">
        <v>5</v>
      </c>
      <c r="F18" s="7">
        <v>0.42202075102150899</v>
      </c>
      <c r="G18" s="6">
        <v>45056</v>
      </c>
      <c r="H18" s="7">
        <v>0.38793156543941099</v>
      </c>
      <c r="I18" s="5"/>
    </row>
    <row r="19" spans="1:9" ht="14.4">
      <c r="A19" s="3" t="s">
        <v>48</v>
      </c>
      <c r="B19" s="4" t="s">
        <v>49</v>
      </c>
      <c r="C19" s="5" t="s">
        <v>50</v>
      </c>
      <c r="D19" s="6">
        <v>44341</v>
      </c>
      <c r="E19" s="7">
        <v>4</v>
      </c>
      <c r="F19" s="7">
        <v>0.221183884694959</v>
      </c>
      <c r="G19" s="6">
        <v>44964</v>
      </c>
      <c r="H19" s="7">
        <v>0.33188863151931702</v>
      </c>
      <c r="I19" s="5"/>
    </row>
    <row r="20" spans="1:9" ht="14.4">
      <c r="A20" s="3" t="s">
        <v>51</v>
      </c>
      <c r="B20" s="4" t="s">
        <v>15</v>
      </c>
      <c r="C20" s="5" t="s">
        <v>10</v>
      </c>
      <c r="D20" s="6">
        <v>44205</v>
      </c>
      <c r="E20" s="7">
        <v>1</v>
      </c>
      <c r="F20" s="7">
        <v>0.33608049957319502</v>
      </c>
      <c r="G20" s="6">
        <v>45067</v>
      </c>
      <c r="H20" s="7">
        <v>0.632173644236244</v>
      </c>
      <c r="I20" s="5"/>
    </row>
    <row r="21" spans="1:9" ht="14.4">
      <c r="A21" s="3" t="s">
        <v>52</v>
      </c>
      <c r="B21" s="4" t="s">
        <v>43</v>
      </c>
      <c r="C21" s="5" t="s">
        <v>44</v>
      </c>
      <c r="D21" s="6">
        <v>44385</v>
      </c>
      <c r="E21" s="7">
        <v>1</v>
      </c>
      <c r="F21" s="7">
        <v>0.66879924137456503</v>
      </c>
      <c r="G21" s="6">
        <v>45019</v>
      </c>
      <c r="H21" s="7">
        <v>0.97050369055421803</v>
      </c>
      <c r="I21" s="5"/>
    </row>
    <row r="22" spans="1:9" ht="14.4">
      <c r="A22" s="3" t="s">
        <v>53</v>
      </c>
      <c r="B22" s="4" t="s">
        <v>54</v>
      </c>
      <c r="C22" s="5" t="s">
        <v>55</v>
      </c>
      <c r="D22" s="6">
        <v>44418</v>
      </c>
      <c r="E22" s="7">
        <v>1</v>
      </c>
      <c r="F22" s="7">
        <v>0.94855371414201095</v>
      </c>
      <c r="G22" s="6">
        <v>44964</v>
      </c>
      <c r="H22" s="7">
        <v>0.335795433783181</v>
      </c>
      <c r="I22" s="5"/>
    </row>
    <row r="23" spans="1:9" ht="14.4">
      <c r="A23" s="3" t="s">
        <v>56</v>
      </c>
      <c r="B23" s="4" t="s">
        <v>9</v>
      </c>
      <c r="C23" s="5" t="s">
        <v>10</v>
      </c>
      <c r="D23" s="6">
        <v>44303</v>
      </c>
      <c r="E23" s="7">
        <v>9</v>
      </c>
      <c r="F23" s="7">
        <v>0.84008770787604403</v>
      </c>
      <c r="G23" s="6">
        <v>45011</v>
      </c>
      <c r="H23" s="7">
        <v>0.55247139186324401</v>
      </c>
      <c r="I23" s="5"/>
    </row>
    <row r="24" spans="1:9" ht="14.4">
      <c r="A24" s="3" t="s">
        <v>57</v>
      </c>
      <c r="B24" s="4" t="s">
        <v>58</v>
      </c>
      <c r="C24" s="5" t="s">
        <v>59</v>
      </c>
      <c r="D24" s="6">
        <v>44469</v>
      </c>
      <c r="E24" s="7">
        <v>2</v>
      </c>
      <c r="F24" s="7">
        <v>2.2027610408179498E-3</v>
      </c>
      <c r="G24" s="6">
        <v>45016</v>
      </c>
      <c r="H24" s="7">
        <v>0.38274839978632802</v>
      </c>
      <c r="I24" s="5"/>
    </row>
    <row r="25" spans="1:9" ht="14.4">
      <c r="A25" s="3" t="s">
        <v>60</v>
      </c>
      <c r="B25" s="4" t="s">
        <v>61</v>
      </c>
      <c r="C25" s="5" t="s">
        <v>62</v>
      </c>
      <c r="D25" s="6">
        <v>44786</v>
      </c>
      <c r="E25" s="7">
        <v>3</v>
      </c>
      <c r="F25" s="7">
        <v>0.70520735936114698</v>
      </c>
      <c r="G25" s="6">
        <v>45023</v>
      </c>
      <c r="H25" s="7">
        <v>0.85427426099032899</v>
      </c>
      <c r="I25" s="5"/>
    </row>
    <row r="26" spans="1:9" ht="14.4">
      <c r="A26" s="3" t="s">
        <v>63</v>
      </c>
      <c r="B26" s="4" t="s">
        <v>30</v>
      </c>
      <c r="C26" s="5" t="s">
        <v>31</v>
      </c>
      <c r="D26" s="6">
        <v>44882</v>
      </c>
      <c r="E26" s="7">
        <v>2</v>
      </c>
      <c r="F26" s="7">
        <v>0.83894286337563995</v>
      </c>
      <c r="G26" s="6">
        <v>44933</v>
      </c>
      <c r="H26" s="7">
        <v>0.67630232908539301</v>
      </c>
      <c r="I26" s="5"/>
    </row>
    <row r="27" spans="1:9" ht="14.4">
      <c r="A27" s="3" t="s">
        <v>64</v>
      </c>
      <c r="B27" s="4" t="s">
        <v>58</v>
      </c>
      <c r="C27" s="5" t="s">
        <v>59</v>
      </c>
      <c r="D27" s="6">
        <v>44725</v>
      </c>
      <c r="E27" s="7">
        <v>8</v>
      </c>
      <c r="F27" s="7">
        <v>0.87889715359181098</v>
      </c>
      <c r="G27" s="6">
        <v>44932</v>
      </c>
      <c r="H27" s="7">
        <v>0.20020556920871699</v>
      </c>
      <c r="I27" s="5"/>
    </row>
    <row r="28" spans="1:9" ht="14.4">
      <c r="A28" s="3" t="s">
        <v>65</v>
      </c>
      <c r="B28" s="4" t="s">
        <v>24</v>
      </c>
      <c r="C28" s="5" t="s">
        <v>25</v>
      </c>
      <c r="D28" s="6">
        <v>44599</v>
      </c>
      <c r="E28" s="7">
        <v>7</v>
      </c>
      <c r="F28" s="7">
        <v>0.81200798012546904</v>
      </c>
      <c r="G28" s="6">
        <v>45064</v>
      </c>
      <c r="H28" s="7">
        <v>0.26150647842758601</v>
      </c>
      <c r="I28" s="5"/>
    </row>
    <row r="29" spans="1:9" ht="14.4">
      <c r="A29" s="3" t="s">
        <v>66</v>
      </c>
      <c r="B29" s="4" t="s">
        <v>9</v>
      </c>
      <c r="C29" s="5" t="s">
        <v>10</v>
      </c>
      <c r="D29" s="6">
        <v>44492</v>
      </c>
      <c r="E29" s="7">
        <v>1</v>
      </c>
      <c r="F29" s="7">
        <v>0.27554760755730201</v>
      </c>
      <c r="G29" s="6">
        <v>45049</v>
      </c>
      <c r="H29" s="7">
        <v>0.19858809226913399</v>
      </c>
      <c r="I29" s="5"/>
    </row>
    <row r="30" spans="1:9" ht="14.4">
      <c r="A30" s="3" t="s">
        <v>67</v>
      </c>
      <c r="B30" s="4" t="s">
        <v>9</v>
      </c>
      <c r="C30" s="5" t="s">
        <v>10</v>
      </c>
      <c r="D30" s="6">
        <v>44523</v>
      </c>
      <c r="E30" s="7">
        <v>3</v>
      </c>
      <c r="F30" s="7">
        <v>0.15183590676997499</v>
      </c>
      <c r="G30" s="6">
        <v>45036</v>
      </c>
      <c r="H30" s="7">
        <v>0.96263635120934099</v>
      </c>
      <c r="I30" s="5"/>
    </row>
    <row r="31" spans="1:9" ht="14.4">
      <c r="A31" s="3" t="s">
        <v>68</v>
      </c>
      <c r="B31" s="4" t="s">
        <v>34</v>
      </c>
      <c r="C31" s="5" t="s">
        <v>35</v>
      </c>
      <c r="D31" s="6">
        <v>44281</v>
      </c>
      <c r="E31" s="7">
        <v>1</v>
      </c>
      <c r="F31" s="7">
        <v>0.31751651418006399</v>
      </c>
      <c r="G31" s="6">
        <v>44967</v>
      </c>
      <c r="H31" s="7">
        <v>0.47080505116614901</v>
      </c>
      <c r="I31" s="5"/>
    </row>
    <row r="32" spans="1:9" ht="14.4">
      <c r="A32" s="3" t="s">
        <v>69</v>
      </c>
      <c r="B32" s="4" t="s">
        <v>54</v>
      </c>
      <c r="C32" s="5" t="s">
        <v>55</v>
      </c>
      <c r="D32" s="6">
        <v>44594</v>
      </c>
      <c r="E32" s="7">
        <v>7</v>
      </c>
      <c r="F32" s="7">
        <v>8.2508842921547004E-2</v>
      </c>
      <c r="G32" s="6">
        <v>44981</v>
      </c>
      <c r="H32" s="7">
        <v>0.90723039307728803</v>
      </c>
      <c r="I32" s="5"/>
    </row>
    <row r="33" spans="1:9" ht="14.4">
      <c r="A33" s="3" t="s">
        <v>70</v>
      </c>
      <c r="B33" s="4" t="s">
        <v>71</v>
      </c>
      <c r="C33" s="5" t="s">
        <v>50</v>
      </c>
      <c r="D33" s="6">
        <v>44239</v>
      </c>
      <c r="E33" s="7">
        <v>9</v>
      </c>
      <c r="F33" s="7">
        <v>3.8415611438702597E-2</v>
      </c>
      <c r="G33" s="6">
        <v>45034</v>
      </c>
      <c r="H33" s="7">
        <v>0.69214535069910299</v>
      </c>
      <c r="I33" s="5"/>
    </row>
    <row r="34" spans="1:9" ht="14.4">
      <c r="A34" s="3" t="s">
        <v>72</v>
      </c>
      <c r="B34" s="4" t="s">
        <v>73</v>
      </c>
      <c r="C34" s="5" t="s">
        <v>74</v>
      </c>
      <c r="D34" s="6">
        <v>44541</v>
      </c>
      <c r="E34" s="7">
        <v>9</v>
      </c>
      <c r="F34" s="7">
        <v>0.215773738787989</v>
      </c>
      <c r="G34" s="6">
        <v>45040</v>
      </c>
      <c r="H34" s="7">
        <v>0.54884364241615202</v>
      </c>
      <c r="I34" s="5"/>
    </row>
    <row r="35" spans="1:9" ht="14.4">
      <c r="A35" s="3" t="s">
        <v>75</v>
      </c>
      <c r="B35" s="4" t="s">
        <v>34</v>
      </c>
      <c r="C35" s="5" t="s">
        <v>35</v>
      </c>
      <c r="D35" s="6">
        <v>44446</v>
      </c>
      <c r="E35" s="7">
        <v>5</v>
      </c>
      <c r="F35" s="7">
        <v>0.72585135876436702</v>
      </c>
      <c r="G35" s="6">
        <v>45053</v>
      </c>
      <c r="H35" s="7">
        <v>0.173994592694031</v>
      </c>
      <c r="I35" s="5"/>
    </row>
    <row r="36" spans="1:9" ht="14.4">
      <c r="A36" s="3" t="s">
        <v>76</v>
      </c>
      <c r="B36" s="4" t="s">
        <v>17</v>
      </c>
      <c r="C36" s="5" t="s">
        <v>18</v>
      </c>
      <c r="D36" s="6">
        <v>44554</v>
      </c>
      <c r="E36" s="7">
        <v>8</v>
      </c>
      <c r="F36" s="7">
        <v>0.68255570090641804</v>
      </c>
      <c r="G36" s="6">
        <v>44988</v>
      </c>
      <c r="H36" s="7">
        <v>0.60454082217188998</v>
      </c>
      <c r="I36" s="5"/>
    </row>
    <row r="37" spans="1:9" ht="14.4">
      <c r="A37" s="3" t="s">
        <v>77</v>
      </c>
      <c r="B37" s="4" t="s">
        <v>21</v>
      </c>
      <c r="C37" s="5" t="s">
        <v>22</v>
      </c>
      <c r="D37" s="6">
        <v>44198</v>
      </c>
      <c r="E37" s="7">
        <v>3</v>
      </c>
      <c r="F37" s="7">
        <v>0.80123839065137303</v>
      </c>
      <c r="G37" s="6">
        <v>45049</v>
      </c>
      <c r="H37" s="7">
        <v>0.30527628395158701</v>
      </c>
      <c r="I37" s="5"/>
    </row>
    <row r="38" spans="1:9" ht="14.4">
      <c r="A38" s="3" t="s">
        <v>78</v>
      </c>
      <c r="B38" s="4" t="s">
        <v>73</v>
      </c>
      <c r="C38" s="5" t="s">
        <v>74</v>
      </c>
      <c r="D38" s="6">
        <v>44838</v>
      </c>
      <c r="E38" s="7">
        <v>4</v>
      </c>
      <c r="F38" s="7">
        <v>0.86036052556079601</v>
      </c>
      <c r="G38" s="6">
        <v>44968</v>
      </c>
      <c r="H38" s="7">
        <v>0.75556235613803402</v>
      </c>
      <c r="I38" s="5"/>
    </row>
    <row r="39" spans="1:9" ht="14.4">
      <c r="A39" s="3" t="s">
        <v>79</v>
      </c>
      <c r="B39" s="4" t="s">
        <v>34</v>
      </c>
      <c r="C39" s="5" t="s">
        <v>35</v>
      </c>
      <c r="D39" s="6">
        <v>44503</v>
      </c>
      <c r="E39" s="7">
        <v>3</v>
      </c>
      <c r="F39" s="7">
        <v>0.89411437906362101</v>
      </c>
      <c r="G39" s="6">
        <v>44951</v>
      </c>
      <c r="H39" s="7">
        <v>0.15236785201696099</v>
      </c>
      <c r="I39" s="5"/>
    </row>
    <row r="40" spans="1:9" ht="14.4">
      <c r="A40" s="3" t="s">
        <v>80</v>
      </c>
      <c r="B40" s="4" t="s">
        <v>81</v>
      </c>
      <c r="C40" s="5" t="s">
        <v>62</v>
      </c>
      <c r="D40" s="6">
        <v>44579</v>
      </c>
      <c r="E40" s="7">
        <v>10</v>
      </c>
      <c r="F40" s="7">
        <v>0.93792316902615502</v>
      </c>
      <c r="G40" s="6">
        <v>45061</v>
      </c>
      <c r="H40" s="7">
        <v>0.45551581516099299</v>
      </c>
      <c r="I40" s="5"/>
    </row>
    <row r="41" spans="1:9" ht="14.4">
      <c r="A41" s="3" t="s">
        <v>82</v>
      </c>
      <c r="B41" s="4" t="s">
        <v>12</v>
      </c>
      <c r="C41" s="5" t="s">
        <v>13</v>
      </c>
      <c r="D41" s="6">
        <v>44898</v>
      </c>
      <c r="E41" s="7">
        <v>4</v>
      </c>
      <c r="F41" s="7">
        <v>0.70777097045034598</v>
      </c>
      <c r="G41" s="6">
        <v>44969</v>
      </c>
      <c r="H41" s="7">
        <v>0.29010240599643</v>
      </c>
      <c r="I41" s="5"/>
    </row>
    <row r="42" spans="1:9" ht="14.4">
      <c r="A42" s="3" t="s">
        <v>83</v>
      </c>
      <c r="B42" s="4" t="s">
        <v>81</v>
      </c>
      <c r="C42" s="5" t="s">
        <v>62</v>
      </c>
      <c r="D42" s="6">
        <v>44315</v>
      </c>
      <c r="E42" s="7">
        <v>10</v>
      </c>
      <c r="F42" s="7">
        <v>0.32809052787687998</v>
      </c>
      <c r="G42" s="6">
        <v>45058</v>
      </c>
      <c r="H42" s="7">
        <v>0.53620178529362506</v>
      </c>
      <c r="I42" s="5"/>
    </row>
    <row r="43" spans="1:9" ht="14.4">
      <c r="A43" s="3" t="s">
        <v>84</v>
      </c>
      <c r="B43" s="4" t="s">
        <v>12</v>
      </c>
      <c r="C43" s="5" t="s">
        <v>13</v>
      </c>
      <c r="D43" s="6">
        <v>44921</v>
      </c>
      <c r="E43" s="7">
        <v>10</v>
      </c>
      <c r="F43" s="7">
        <v>0.20148931810460499</v>
      </c>
      <c r="G43" s="6">
        <v>45027</v>
      </c>
      <c r="H43" s="7">
        <v>0.37346939187061601</v>
      </c>
      <c r="I43" s="5"/>
    </row>
    <row r="44" spans="1:9" ht="14.4">
      <c r="A44" s="3" t="s">
        <v>85</v>
      </c>
      <c r="B44" s="4" t="s">
        <v>43</v>
      </c>
      <c r="C44" s="5" t="s">
        <v>44</v>
      </c>
      <c r="D44" s="6">
        <v>44708</v>
      </c>
      <c r="E44" s="7">
        <v>6</v>
      </c>
      <c r="F44" s="7">
        <v>3.5993791246495099E-2</v>
      </c>
      <c r="G44" s="6">
        <v>44985</v>
      </c>
      <c r="H44" s="7">
        <v>0.97861539568179701</v>
      </c>
      <c r="I44" s="5"/>
    </row>
    <row r="45" spans="1:9" ht="14.4">
      <c r="A45" s="3" t="s">
        <v>86</v>
      </c>
      <c r="B45" s="4" t="s">
        <v>9</v>
      </c>
      <c r="C45" s="5" t="s">
        <v>10</v>
      </c>
      <c r="D45" s="6">
        <v>44795</v>
      </c>
      <c r="E45" s="7">
        <v>1</v>
      </c>
      <c r="F45" s="7">
        <v>0.71704537744139196</v>
      </c>
      <c r="G45" s="6">
        <v>45022</v>
      </c>
      <c r="H45" s="7">
        <v>0.16233553287650401</v>
      </c>
      <c r="I45" s="5"/>
    </row>
    <row r="46" spans="1:9" ht="14.4">
      <c r="A46" s="3" t="s">
        <v>87</v>
      </c>
      <c r="B46" s="4" t="s">
        <v>49</v>
      </c>
      <c r="C46" s="5" t="s">
        <v>50</v>
      </c>
      <c r="D46" s="6">
        <v>44338</v>
      </c>
      <c r="E46" s="7">
        <v>9</v>
      </c>
      <c r="F46" s="7">
        <v>0.71155870482197403</v>
      </c>
      <c r="G46" s="6">
        <v>45045</v>
      </c>
      <c r="H46" s="7">
        <v>0.15390650537949099</v>
      </c>
      <c r="I46" s="5"/>
    </row>
    <row r="47" spans="1:9" ht="14.4">
      <c r="A47" s="3" t="s">
        <v>88</v>
      </c>
      <c r="B47" s="4" t="s">
        <v>34</v>
      </c>
      <c r="C47" s="5" t="s">
        <v>35</v>
      </c>
      <c r="D47" s="6">
        <v>44274</v>
      </c>
      <c r="E47" s="7">
        <v>6</v>
      </c>
      <c r="F47" s="7">
        <v>6.4033223650055093E-2</v>
      </c>
      <c r="G47" s="6">
        <v>45004</v>
      </c>
      <c r="H47" s="7">
        <v>4.2104998611888203E-3</v>
      </c>
      <c r="I47" s="5"/>
    </row>
    <row r="48" spans="1:9" ht="14.4">
      <c r="A48" s="3" t="s">
        <v>89</v>
      </c>
      <c r="B48" s="4" t="s">
        <v>46</v>
      </c>
      <c r="C48" s="5" t="s">
        <v>47</v>
      </c>
      <c r="D48" s="6">
        <v>44725</v>
      </c>
      <c r="E48" s="7">
        <v>7</v>
      </c>
      <c r="F48" s="7">
        <v>0.97988976578176401</v>
      </c>
      <c r="G48" s="6">
        <v>45051</v>
      </c>
      <c r="H48" s="7">
        <v>4.3763329833777703E-2</v>
      </c>
      <c r="I48" s="5"/>
    </row>
    <row r="49" spans="1:9" ht="14.4">
      <c r="A49" s="3" t="s">
        <v>90</v>
      </c>
      <c r="B49" s="4" t="s">
        <v>30</v>
      </c>
      <c r="C49" s="5" t="s">
        <v>31</v>
      </c>
      <c r="D49" s="6">
        <v>44340</v>
      </c>
      <c r="E49" s="7">
        <v>10</v>
      </c>
      <c r="F49" s="7">
        <v>0.702645841021446</v>
      </c>
      <c r="G49" s="6">
        <v>44928</v>
      </c>
      <c r="H49" s="7">
        <v>0.369783832169231</v>
      </c>
      <c r="I49" s="5"/>
    </row>
    <row r="50" spans="1:9" ht="14.4">
      <c r="A50" s="3" t="s">
        <v>91</v>
      </c>
      <c r="B50" s="4" t="s">
        <v>24</v>
      </c>
      <c r="C50" s="5" t="s">
        <v>25</v>
      </c>
      <c r="D50" s="6">
        <v>44502</v>
      </c>
      <c r="E50" s="7">
        <v>3</v>
      </c>
      <c r="F50" s="7">
        <v>6.7860349366877903E-2</v>
      </c>
      <c r="G50" s="6">
        <v>45026</v>
      </c>
      <c r="H50" s="7">
        <v>0.67274821533457596</v>
      </c>
      <c r="I50" s="5"/>
    </row>
    <row r="51" spans="1:9" ht="14.4">
      <c r="A51" s="3" t="s">
        <v>92</v>
      </c>
      <c r="B51" s="4" t="s">
        <v>54</v>
      </c>
      <c r="C51" s="5" t="s">
        <v>55</v>
      </c>
      <c r="D51" s="6">
        <v>44560</v>
      </c>
      <c r="E51" s="7">
        <v>9</v>
      </c>
      <c r="F51" s="7">
        <v>0.407593318710052</v>
      </c>
      <c r="G51" s="6">
        <v>44988</v>
      </c>
      <c r="H51" s="7">
        <v>0.63816582309695902</v>
      </c>
      <c r="I51" s="5"/>
    </row>
    <row r="52" spans="1:9" ht="14.4">
      <c r="A52" s="3" t="s">
        <v>93</v>
      </c>
      <c r="B52" s="4" t="s">
        <v>61</v>
      </c>
      <c r="C52" s="5" t="s">
        <v>62</v>
      </c>
      <c r="D52" s="6">
        <v>44361</v>
      </c>
      <c r="E52" s="7">
        <v>4</v>
      </c>
      <c r="F52" s="7">
        <v>0.52920695915069904</v>
      </c>
      <c r="G52" s="6">
        <v>44976</v>
      </c>
      <c r="H52" s="7">
        <v>0.13238552807963799</v>
      </c>
      <c r="I52" s="5"/>
    </row>
    <row r="53" spans="1:9" ht="14.4">
      <c r="A53" s="3" t="s">
        <v>94</v>
      </c>
      <c r="B53" s="4" t="s">
        <v>17</v>
      </c>
      <c r="C53" s="5" t="s">
        <v>18</v>
      </c>
      <c r="D53" s="6">
        <v>44343</v>
      </c>
      <c r="E53" s="7">
        <v>1</v>
      </c>
      <c r="F53" s="7">
        <v>0.83003541427247696</v>
      </c>
      <c r="G53" s="6">
        <v>44965</v>
      </c>
      <c r="H53" s="7">
        <v>0.52621974753425005</v>
      </c>
      <c r="I53" s="5"/>
    </row>
    <row r="54" spans="1:9" ht="14.4">
      <c r="A54" s="3" t="s">
        <v>95</v>
      </c>
      <c r="B54" s="4" t="s">
        <v>17</v>
      </c>
      <c r="C54" s="5" t="s">
        <v>18</v>
      </c>
      <c r="D54" s="6">
        <v>44382</v>
      </c>
      <c r="E54" s="7">
        <v>9</v>
      </c>
      <c r="F54" s="7">
        <v>0.13503720101241901</v>
      </c>
      <c r="G54" s="6">
        <v>45017</v>
      </c>
      <c r="H54" s="7">
        <v>0.85749627053317901</v>
      </c>
      <c r="I54" s="5"/>
    </row>
    <row r="55" spans="1:9" ht="14.4">
      <c r="A55" s="3" t="s">
        <v>96</v>
      </c>
      <c r="B55" s="4" t="s">
        <v>54</v>
      </c>
      <c r="C55" s="5" t="s">
        <v>55</v>
      </c>
      <c r="D55" s="6">
        <v>44680</v>
      </c>
      <c r="E55" s="7">
        <v>2</v>
      </c>
      <c r="F55" s="7">
        <v>0.18457397753690899</v>
      </c>
      <c r="G55" s="6">
        <v>45004</v>
      </c>
      <c r="H55" s="7">
        <v>0.74032989684219797</v>
      </c>
      <c r="I55" s="5"/>
    </row>
    <row r="56" spans="1:9" ht="14.4">
      <c r="A56" s="3" t="s">
        <v>97</v>
      </c>
      <c r="B56" s="4" t="s">
        <v>24</v>
      </c>
      <c r="C56" s="5" t="s">
        <v>25</v>
      </c>
      <c r="D56" s="6">
        <v>44816</v>
      </c>
      <c r="E56" s="7">
        <v>7</v>
      </c>
      <c r="F56" s="7">
        <v>1.4827494446379701E-2</v>
      </c>
      <c r="G56" s="6">
        <v>44978</v>
      </c>
      <c r="H56" s="7">
        <v>0.41833053891377597</v>
      </c>
      <c r="I56" s="5"/>
    </row>
    <row r="57" spans="1:9" ht="14.4">
      <c r="A57" s="3" t="s">
        <v>98</v>
      </c>
      <c r="B57" s="4" t="s">
        <v>27</v>
      </c>
      <c r="C57" s="5" t="s">
        <v>28</v>
      </c>
      <c r="D57" s="6">
        <v>44278</v>
      </c>
      <c r="E57" s="7">
        <v>4</v>
      </c>
      <c r="F57" s="7">
        <v>0.27577765609607802</v>
      </c>
      <c r="G57" s="6">
        <v>45071</v>
      </c>
      <c r="H57" s="7">
        <v>0.84349820990746505</v>
      </c>
      <c r="I57" s="5"/>
    </row>
    <row r="58" spans="1:9" ht="14.4">
      <c r="A58" s="3" t="s">
        <v>99</v>
      </c>
      <c r="B58" s="4" t="s">
        <v>43</v>
      </c>
      <c r="C58" s="5" t="s">
        <v>44</v>
      </c>
      <c r="D58" s="6">
        <v>44667</v>
      </c>
      <c r="E58" s="7">
        <v>2</v>
      </c>
      <c r="F58" s="7">
        <v>1.4798370860461801E-2</v>
      </c>
      <c r="G58" s="6">
        <v>45011</v>
      </c>
      <c r="H58" s="7">
        <v>0.65581817056759795</v>
      </c>
      <c r="I58" s="5"/>
    </row>
    <row r="59" spans="1:9" ht="14.4">
      <c r="A59" s="3" t="s">
        <v>100</v>
      </c>
      <c r="B59" s="4" t="s">
        <v>71</v>
      </c>
      <c r="C59" s="5" t="s">
        <v>50</v>
      </c>
      <c r="D59" s="6">
        <v>44420</v>
      </c>
      <c r="E59" s="7">
        <v>4</v>
      </c>
      <c r="F59" s="7">
        <v>0.71929697815108395</v>
      </c>
      <c r="G59" s="6">
        <v>45029</v>
      </c>
      <c r="H59" s="7">
        <v>5.4091466872212501E-2</v>
      </c>
      <c r="I59" s="5"/>
    </row>
    <row r="60" spans="1:9" ht="14.4">
      <c r="A60" s="3" t="s">
        <v>101</v>
      </c>
      <c r="B60" s="4" t="s">
        <v>34</v>
      </c>
      <c r="C60" s="5" t="s">
        <v>35</v>
      </c>
      <c r="D60" s="6">
        <v>44922</v>
      </c>
      <c r="E60" s="7">
        <v>6</v>
      </c>
      <c r="F60" s="7">
        <v>0.45894107528788403</v>
      </c>
      <c r="G60" s="6">
        <v>44952</v>
      </c>
      <c r="H60" s="7">
        <v>0.64879966285478297</v>
      </c>
      <c r="I60" s="5"/>
    </row>
    <row r="61" spans="1:9" ht="14.4">
      <c r="A61" s="3" t="s">
        <v>102</v>
      </c>
      <c r="B61" s="4" t="s">
        <v>103</v>
      </c>
      <c r="C61" s="5" t="s">
        <v>104</v>
      </c>
      <c r="D61" s="6">
        <v>44356</v>
      </c>
      <c r="E61" s="7">
        <v>6</v>
      </c>
      <c r="F61" s="7">
        <v>0.75369284563293804</v>
      </c>
      <c r="G61" s="6">
        <v>45000</v>
      </c>
      <c r="H61" s="7">
        <v>0.95310350121023102</v>
      </c>
      <c r="I61" s="5"/>
    </row>
    <row r="62" spans="1:9" ht="14.4">
      <c r="A62" s="3" t="s">
        <v>105</v>
      </c>
      <c r="B62" s="4" t="s">
        <v>39</v>
      </c>
      <c r="C62" s="5" t="s">
        <v>40</v>
      </c>
      <c r="D62" s="6">
        <v>44315</v>
      </c>
      <c r="E62" s="7">
        <v>7</v>
      </c>
      <c r="F62" s="7">
        <v>0.73835370024837998</v>
      </c>
      <c r="G62" s="6">
        <v>45020</v>
      </c>
      <c r="H62" s="7">
        <v>0.10264222958663</v>
      </c>
      <c r="I62" s="5"/>
    </row>
    <row r="63" spans="1:9" ht="14.4">
      <c r="A63" s="3" t="s">
        <v>106</v>
      </c>
      <c r="B63" s="4" t="s">
        <v>12</v>
      </c>
      <c r="C63" s="5" t="s">
        <v>13</v>
      </c>
      <c r="D63" s="6">
        <v>44860</v>
      </c>
      <c r="E63" s="7">
        <v>8</v>
      </c>
      <c r="F63" s="7">
        <v>0.585256316656942</v>
      </c>
      <c r="G63" s="6">
        <v>45041</v>
      </c>
      <c r="H63" s="7">
        <v>0.63534355964006295</v>
      </c>
      <c r="I63" s="5"/>
    </row>
    <row r="64" spans="1:9" ht="14.4">
      <c r="A64" s="3" t="s">
        <v>107</v>
      </c>
      <c r="B64" s="4" t="s">
        <v>58</v>
      </c>
      <c r="C64" s="5" t="s">
        <v>59</v>
      </c>
      <c r="D64" s="6">
        <v>44340</v>
      </c>
      <c r="E64" s="7">
        <v>9</v>
      </c>
      <c r="F64" s="7">
        <v>0.87646719833682096</v>
      </c>
      <c r="G64" s="6">
        <v>44957</v>
      </c>
      <c r="H64" s="7">
        <v>0.32932752883912297</v>
      </c>
      <c r="I64" s="5"/>
    </row>
    <row r="65" spans="1:9" ht="14.4">
      <c r="A65" s="3" t="s">
        <v>108</v>
      </c>
      <c r="B65" s="4" t="s">
        <v>34</v>
      </c>
      <c r="C65" s="5" t="s">
        <v>35</v>
      </c>
      <c r="D65" s="6">
        <v>44773</v>
      </c>
      <c r="E65" s="7">
        <v>5</v>
      </c>
      <c r="F65" s="7">
        <v>0.68720157697523698</v>
      </c>
      <c r="G65" s="6">
        <v>45054</v>
      </c>
      <c r="H65" s="7">
        <v>0.79990973215818495</v>
      </c>
      <c r="I65" s="5"/>
    </row>
    <row r="66" spans="1:9" ht="14.4">
      <c r="A66" s="3" t="s">
        <v>109</v>
      </c>
      <c r="B66" s="4" t="s">
        <v>27</v>
      </c>
      <c r="C66" s="5" t="s">
        <v>28</v>
      </c>
      <c r="D66" s="6">
        <v>44347</v>
      </c>
      <c r="E66" s="7">
        <v>1</v>
      </c>
      <c r="F66" s="7">
        <v>0.48588703608226103</v>
      </c>
      <c r="G66" s="6">
        <v>45035</v>
      </c>
      <c r="H66" s="7">
        <v>0.45518918214522902</v>
      </c>
      <c r="I66" s="5"/>
    </row>
    <row r="67" spans="1:9" ht="14.4">
      <c r="A67" s="3" t="s">
        <v>110</v>
      </c>
      <c r="B67" s="4" t="s">
        <v>71</v>
      </c>
      <c r="C67" s="5" t="s">
        <v>50</v>
      </c>
      <c r="D67" s="6">
        <v>44659</v>
      </c>
      <c r="E67" s="7">
        <v>2</v>
      </c>
      <c r="F67" s="7">
        <v>0.68555193640676504</v>
      </c>
      <c r="G67" s="6">
        <v>45014</v>
      </c>
      <c r="H67" s="7">
        <v>0.40035912772023502</v>
      </c>
      <c r="I67" s="5"/>
    </row>
    <row r="68" spans="1:9" ht="14.4">
      <c r="A68" s="3" t="s">
        <v>111</v>
      </c>
      <c r="B68" s="4" t="s">
        <v>58</v>
      </c>
      <c r="C68" s="5" t="s">
        <v>59</v>
      </c>
      <c r="D68" s="6">
        <v>44679</v>
      </c>
      <c r="E68" s="7">
        <v>1</v>
      </c>
      <c r="F68" s="7">
        <v>0.574831092396204</v>
      </c>
      <c r="G68" s="6">
        <v>44936</v>
      </c>
      <c r="H68" s="7">
        <v>0.14703843884491</v>
      </c>
      <c r="I68" s="5"/>
    </row>
    <row r="69" spans="1:9" ht="14.4">
      <c r="A69" s="3" t="s">
        <v>112</v>
      </c>
      <c r="B69" s="4" t="s">
        <v>81</v>
      </c>
      <c r="C69" s="5" t="s">
        <v>62</v>
      </c>
      <c r="D69" s="6">
        <v>44800</v>
      </c>
      <c r="E69" s="7">
        <v>4</v>
      </c>
      <c r="F69" s="7">
        <v>0.89057060464664195</v>
      </c>
      <c r="G69" s="6">
        <v>45004</v>
      </c>
      <c r="H69" s="7">
        <v>0.24766978894018499</v>
      </c>
      <c r="I69" s="5"/>
    </row>
    <row r="70" spans="1:9" ht="14.4">
      <c r="A70" s="3" t="s">
        <v>113</v>
      </c>
      <c r="B70" s="4" t="s">
        <v>9</v>
      </c>
      <c r="C70" s="5" t="s">
        <v>10</v>
      </c>
      <c r="D70" s="6">
        <v>44889</v>
      </c>
      <c r="E70" s="7">
        <v>4</v>
      </c>
      <c r="F70" s="7">
        <v>0.64606533640427699</v>
      </c>
      <c r="G70" s="6">
        <v>44977</v>
      </c>
      <c r="H70" s="7">
        <v>0.75502767909149604</v>
      </c>
      <c r="I70" s="5"/>
    </row>
    <row r="71" spans="1:9" ht="14.4">
      <c r="A71" s="3" t="s">
        <v>114</v>
      </c>
      <c r="B71" s="4" t="s">
        <v>103</v>
      </c>
      <c r="C71" s="5" t="s">
        <v>104</v>
      </c>
      <c r="D71" s="6">
        <v>44574</v>
      </c>
      <c r="E71" s="7">
        <v>5</v>
      </c>
      <c r="F71" s="7">
        <v>2.4408043245797401E-2</v>
      </c>
      <c r="G71" s="6">
        <v>45041</v>
      </c>
      <c r="H71" s="7">
        <v>0.11842008103757801</v>
      </c>
      <c r="I71" s="5"/>
    </row>
    <row r="72" spans="1:9" ht="14.4">
      <c r="A72" s="3" t="s">
        <v>115</v>
      </c>
      <c r="B72" s="4" t="s">
        <v>61</v>
      </c>
      <c r="C72" s="5" t="s">
        <v>62</v>
      </c>
      <c r="D72" s="6">
        <v>44752</v>
      </c>
      <c r="E72" s="7">
        <v>1</v>
      </c>
      <c r="F72" s="7">
        <v>0.144587962809021</v>
      </c>
      <c r="G72" s="6">
        <v>44974</v>
      </c>
      <c r="H72" s="7">
        <v>0.22337306376263399</v>
      </c>
      <c r="I72" s="5"/>
    </row>
    <row r="73" spans="1:9" ht="14.4">
      <c r="A73" s="3" t="s">
        <v>116</v>
      </c>
      <c r="B73" s="4" t="s">
        <v>46</v>
      </c>
      <c r="C73" s="5" t="s">
        <v>47</v>
      </c>
      <c r="D73" s="6">
        <v>44786</v>
      </c>
      <c r="E73" s="7">
        <v>7</v>
      </c>
      <c r="F73" s="7">
        <v>1.31744392227479E-2</v>
      </c>
      <c r="G73" s="6">
        <v>45030</v>
      </c>
      <c r="H73" s="7">
        <v>0.97185682841004495</v>
      </c>
      <c r="I73" s="5"/>
    </row>
    <row r="74" spans="1:9" ht="14.4">
      <c r="A74" s="3" t="s">
        <v>117</v>
      </c>
      <c r="B74" s="4" t="s">
        <v>21</v>
      </c>
      <c r="C74" s="5" t="s">
        <v>22</v>
      </c>
      <c r="D74" s="6">
        <v>44644</v>
      </c>
      <c r="E74" s="7">
        <v>4</v>
      </c>
      <c r="F74" s="7">
        <v>0.81530857906975795</v>
      </c>
      <c r="G74" s="6">
        <v>44954</v>
      </c>
      <c r="H74" s="7">
        <v>0.48260987316073201</v>
      </c>
      <c r="I74" s="5"/>
    </row>
    <row r="75" spans="1:9" ht="14.4">
      <c r="A75" s="3" t="s">
        <v>118</v>
      </c>
      <c r="B75" s="4" t="s">
        <v>17</v>
      </c>
      <c r="C75" s="5" t="s">
        <v>18</v>
      </c>
      <c r="D75" s="6">
        <v>44554</v>
      </c>
      <c r="E75" s="7">
        <v>6</v>
      </c>
      <c r="F75" s="7">
        <v>0.15491081045699601</v>
      </c>
      <c r="G75" s="6">
        <v>45064</v>
      </c>
      <c r="H75" s="7">
        <v>0.76802453424894601</v>
      </c>
      <c r="I75" s="5"/>
    </row>
    <row r="76" spans="1:9" ht="14.4">
      <c r="A76" s="3" t="s">
        <v>119</v>
      </c>
      <c r="B76" s="4" t="s">
        <v>58</v>
      </c>
      <c r="C76" s="5" t="s">
        <v>59</v>
      </c>
      <c r="D76" s="6">
        <v>44706</v>
      </c>
      <c r="E76" s="7">
        <v>1</v>
      </c>
      <c r="F76" s="7">
        <v>0.269555056043635</v>
      </c>
      <c r="G76" s="6">
        <v>45000</v>
      </c>
      <c r="H76" s="7">
        <v>0.122182361751799</v>
      </c>
      <c r="I76" s="5"/>
    </row>
    <row r="77" spans="1:9" ht="14.4">
      <c r="A77" s="3" t="s">
        <v>120</v>
      </c>
      <c r="B77" s="4" t="s">
        <v>15</v>
      </c>
      <c r="C77" s="5" t="s">
        <v>10</v>
      </c>
      <c r="D77" s="6">
        <v>44794</v>
      </c>
      <c r="E77" s="7">
        <v>3</v>
      </c>
      <c r="F77" s="7">
        <v>0.71512622981990404</v>
      </c>
      <c r="G77" s="6">
        <v>45023</v>
      </c>
      <c r="H77" s="7">
        <v>2.82332058926804E-3</v>
      </c>
      <c r="I77" s="5"/>
    </row>
    <row r="78" spans="1:9" ht="14.4">
      <c r="A78" s="3" t="s">
        <v>121</v>
      </c>
      <c r="B78" s="4" t="s">
        <v>34</v>
      </c>
      <c r="C78" s="5" t="s">
        <v>35</v>
      </c>
      <c r="D78" s="6">
        <v>44423</v>
      </c>
      <c r="E78" s="7">
        <v>5</v>
      </c>
      <c r="F78" s="7">
        <v>0.517478802978105</v>
      </c>
      <c r="G78" s="6">
        <v>44991</v>
      </c>
      <c r="H78" s="7">
        <v>0.194941670945359</v>
      </c>
      <c r="I78" s="5"/>
    </row>
    <row r="79" spans="1:9" ht="14.4">
      <c r="A79" s="3" t="s">
        <v>122</v>
      </c>
      <c r="B79" s="4" t="s">
        <v>58</v>
      </c>
      <c r="C79" s="5" t="s">
        <v>59</v>
      </c>
      <c r="D79" s="6">
        <v>44270</v>
      </c>
      <c r="E79" s="7">
        <v>3</v>
      </c>
      <c r="F79" s="7">
        <v>0.98933192835650696</v>
      </c>
      <c r="G79" s="6">
        <v>44952</v>
      </c>
      <c r="H79" s="7">
        <v>0.116747383128981</v>
      </c>
      <c r="I79" s="5"/>
    </row>
    <row r="80" spans="1:9" ht="14.4">
      <c r="A80" s="3" t="s">
        <v>123</v>
      </c>
      <c r="B80" s="4" t="s">
        <v>73</v>
      </c>
      <c r="C80" s="5" t="s">
        <v>74</v>
      </c>
      <c r="D80" s="6">
        <v>44852</v>
      </c>
      <c r="E80" s="7">
        <v>5</v>
      </c>
      <c r="F80" s="7">
        <v>0.32415684712172899</v>
      </c>
      <c r="G80" s="6">
        <v>45051</v>
      </c>
      <c r="H80" s="7">
        <v>0.28398523541759901</v>
      </c>
      <c r="I80" s="5"/>
    </row>
    <row r="81" spans="1:9" ht="14.4">
      <c r="A81" s="3" t="s">
        <v>124</v>
      </c>
      <c r="B81" s="4" t="s">
        <v>9</v>
      </c>
      <c r="C81" s="5" t="s">
        <v>10</v>
      </c>
      <c r="D81" s="6">
        <v>44343</v>
      </c>
      <c r="E81" s="7">
        <v>6</v>
      </c>
      <c r="F81" s="7">
        <v>0.64559425958074801</v>
      </c>
      <c r="G81" s="6">
        <v>45057</v>
      </c>
      <c r="H81" s="7">
        <v>0.74976354481356899</v>
      </c>
      <c r="I81" s="5"/>
    </row>
    <row r="82" spans="1:9" ht="14.4">
      <c r="A82" s="3" t="s">
        <v>125</v>
      </c>
      <c r="B82" s="4" t="s">
        <v>103</v>
      </c>
      <c r="C82" s="5" t="s">
        <v>104</v>
      </c>
      <c r="D82" s="6">
        <v>44643</v>
      </c>
      <c r="E82" s="7">
        <v>10</v>
      </c>
      <c r="F82" s="7">
        <v>0.13502577444900801</v>
      </c>
      <c r="G82" s="6">
        <v>45050</v>
      </c>
      <c r="H82" s="7">
        <v>9.7289928257875094E-2</v>
      </c>
      <c r="I82" s="5"/>
    </row>
    <row r="83" spans="1:9" ht="14.4">
      <c r="A83" s="3" t="s">
        <v>126</v>
      </c>
      <c r="B83" s="4" t="s">
        <v>43</v>
      </c>
      <c r="C83" s="5" t="s">
        <v>44</v>
      </c>
      <c r="D83" s="6">
        <v>44353</v>
      </c>
      <c r="E83" s="7">
        <v>8</v>
      </c>
      <c r="F83" s="7">
        <v>0.74864767306151003</v>
      </c>
      <c r="G83" s="6">
        <v>45075</v>
      </c>
      <c r="H83" s="7">
        <v>0.91487830622236999</v>
      </c>
      <c r="I83" s="5"/>
    </row>
    <row r="84" spans="1:9" ht="14.4">
      <c r="A84" s="3" t="s">
        <v>127</v>
      </c>
      <c r="B84" s="4" t="s">
        <v>49</v>
      </c>
      <c r="C84" s="5" t="s">
        <v>50</v>
      </c>
      <c r="D84" s="6">
        <v>44703</v>
      </c>
      <c r="E84" s="7">
        <v>1</v>
      </c>
      <c r="F84" s="7">
        <v>0.105161391848884</v>
      </c>
      <c r="G84" s="6">
        <v>45054</v>
      </c>
      <c r="H84" s="7">
        <v>0.22690729464404399</v>
      </c>
      <c r="I84" s="5"/>
    </row>
    <row r="85" spans="1:9" ht="14.4">
      <c r="A85" s="3" t="s">
        <v>128</v>
      </c>
      <c r="B85" s="4" t="s">
        <v>129</v>
      </c>
      <c r="C85" s="5" t="s">
        <v>22</v>
      </c>
      <c r="D85" s="6">
        <v>44742</v>
      </c>
      <c r="E85" s="7">
        <v>6</v>
      </c>
      <c r="F85" s="7">
        <v>0.11408685507641</v>
      </c>
      <c r="G85" s="6">
        <v>44954</v>
      </c>
      <c r="H85" s="7">
        <v>0.33571676903915298</v>
      </c>
      <c r="I85" s="5"/>
    </row>
    <row r="86" spans="1:9" ht="14.4">
      <c r="A86" s="3" t="s">
        <v>130</v>
      </c>
      <c r="B86" s="4" t="s">
        <v>61</v>
      </c>
      <c r="C86" s="5" t="s">
        <v>62</v>
      </c>
      <c r="D86" s="6">
        <v>44600</v>
      </c>
      <c r="E86" s="7">
        <v>1</v>
      </c>
      <c r="F86" s="7">
        <v>0.58372843681935904</v>
      </c>
      <c r="G86" s="6">
        <v>44997</v>
      </c>
      <c r="H86" s="7">
        <v>0.38186645762982302</v>
      </c>
      <c r="I86" s="5"/>
    </row>
    <row r="87" spans="1:9" ht="14.4">
      <c r="A87" s="3" t="s">
        <v>131</v>
      </c>
      <c r="B87" s="4" t="s">
        <v>129</v>
      </c>
      <c r="C87" s="5" t="s">
        <v>22</v>
      </c>
      <c r="D87" s="6">
        <v>44721</v>
      </c>
      <c r="E87" s="7">
        <v>6</v>
      </c>
      <c r="F87" s="7">
        <v>1.6069181318315098E-2</v>
      </c>
      <c r="G87" s="6">
        <v>44928</v>
      </c>
      <c r="H87" s="7">
        <v>0.93551003990677095</v>
      </c>
      <c r="I87" s="5"/>
    </row>
    <row r="88" spans="1:9" ht="14.4">
      <c r="A88" s="3" t="s">
        <v>132</v>
      </c>
      <c r="B88" s="4" t="s">
        <v>103</v>
      </c>
      <c r="C88" s="5" t="s">
        <v>104</v>
      </c>
      <c r="D88" s="6">
        <v>44544</v>
      </c>
      <c r="E88" s="7">
        <v>7</v>
      </c>
      <c r="F88" s="7">
        <v>0.77483286137645402</v>
      </c>
      <c r="G88" s="6">
        <v>44977</v>
      </c>
      <c r="H88" s="7">
        <v>0.83972936204120796</v>
      </c>
      <c r="I88" s="5"/>
    </row>
    <row r="89" spans="1:9" ht="14.4">
      <c r="A89" s="3" t="s">
        <v>133</v>
      </c>
      <c r="B89" s="4" t="s">
        <v>34</v>
      </c>
      <c r="C89" s="5" t="s">
        <v>35</v>
      </c>
      <c r="D89" s="6">
        <v>44304</v>
      </c>
      <c r="E89" s="7">
        <v>6</v>
      </c>
      <c r="F89" s="7">
        <v>0.83415711448827101</v>
      </c>
      <c r="G89" s="6">
        <v>45032</v>
      </c>
      <c r="H89" s="7">
        <v>0.73754903864989096</v>
      </c>
      <c r="I89" s="5"/>
    </row>
    <row r="90" spans="1:9" ht="14.4">
      <c r="A90" s="3" t="s">
        <v>134</v>
      </c>
      <c r="B90" s="4" t="s">
        <v>15</v>
      </c>
      <c r="C90" s="5" t="s">
        <v>10</v>
      </c>
      <c r="D90" s="6">
        <v>44285</v>
      </c>
      <c r="E90" s="7">
        <v>7</v>
      </c>
      <c r="F90" s="7">
        <v>0.27349998025771599</v>
      </c>
      <c r="G90" s="6">
        <v>45056</v>
      </c>
      <c r="H90" s="7">
        <v>0.398707058551939</v>
      </c>
      <c r="I90" s="5"/>
    </row>
    <row r="91" spans="1:9" ht="14.4">
      <c r="A91" s="3" t="s">
        <v>135</v>
      </c>
      <c r="B91" s="4" t="s">
        <v>21</v>
      </c>
      <c r="C91" s="5" t="s">
        <v>22</v>
      </c>
      <c r="D91" s="6">
        <v>44279</v>
      </c>
      <c r="E91" s="7">
        <v>10</v>
      </c>
      <c r="F91" s="7">
        <v>0.17894362318854701</v>
      </c>
      <c r="G91" s="6">
        <v>45026</v>
      </c>
      <c r="H91" s="7">
        <v>0.27983535659688702</v>
      </c>
      <c r="I91" s="5"/>
    </row>
    <row r="92" spans="1:9" ht="14.4">
      <c r="A92" s="3" t="s">
        <v>136</v>
      </c>
      <c r="B92" s="4" t="s">
        <v>9</v>
      </c>
      <c r="C92" s="5" t="s">
        <v>10</v>
      </c>
      <c r="D92" s="6">
        <v>44206</v>
      </c>
      <c r="E92" s="7">
        <v>2</v>
      </c>
      <c r="F92" s="7">
        <v>0.90504227111458202</v>
      </c>
      <c r="G92" s="6">
        <v>44957</v>
      </c>
      <c r="H92" s="7">
        <v>0.45883084719257899</v>
      </c>
      <c r="I92" s="5"/>
    </row>
    <row r="93" spans="1:9" ht="14.4">
      <c r="A93" s="3" t="s">
        <v>137</v>
      </c>
      <c r="B93" s="4" t="s">
        <v>58</v>
      </c>
      <c r="C93" s="5" t="s">
        <v>59</v>
      </c>
      <c r="D93" s="6">
        <v>44557</v>
      </c>
      <c r="E93" s="7">
        <v>4</v>
      </c>
      <c r="F93" s="7">
        <v>3.6105377236760302E-3</v>
      </c>
      <c r="G93" s="6">
        <v>44993</v>
      </c>
      <c r="H93" s="7">
        <v>0.430410454177235</v>
      </c>
      <c r="I93" s="5"/>
    </row>
    <row r="94" spans="1:9" ht="14.4">
      <c r="A94" s="3" t="s">
        <v>138</v>
      </c>
      <c r="B94" s="4" t="s">
        <v>81</v>
      </c>
      <c r="C94" s="5" t="s">
        <v>62</v>
      </c>
      <c r="D94" s="6">
        <v>44366</v>
      </c>
      <c r="E94" s="7">
        <v>2</v>
      </c>
      <c r="F94" s="7">
        <v>0.256532208615462</v>
      </c>
      <c r="G94" s="6">
        <v>44975</v>
      </c>
      <c r="H94" s="7">
        <v>0.25683090454434099</v>
      </c>
      <c r="I94" s="5"/>
    </row>
    <row r="95" spans="1:9" ht="14.4">
      <c r="A95" s="3" t="s">
        <v>139</v>
      </c>
      <c r="B95" s="4" t="s">
        <v>103</v>
      </c>
      <c r="C95" s="5" t="s">
        <v>104</v>
      </c>
      <c r="D95" s="6">
        <v>44250</v>
      </c>
      <c r="E95" s="7">
        <v>5</v>
      </c>
      <c r="F95" s="7">
        <v>0.70021844930653598</v>
      </c>
      <c r="G95" s="6">
        <v>45008</v>
      </c>
      <c r="H95" s="7">
        <v>0.61187665279577597</v>
      </c>
      <c r="I95" s="5"/>
    </row>
    <row r="96" spans="1:9" ht="14.4">
      <c r="A96" s="3" t="s">
        <v>140</v>
      </c>
      <c r="B96" s="4" t="s">
        <v>21</v>
      </c>
      <c r="C96" s="5" t="s">
        <v>22</v>
      </c>
      <c r="D96" s="6">
        <v>44235</v>
      </c>
      <c r="E96" s="7">
        <v>2</v>
      </c>
      <c r="F96" s="7">
        <v>0.86236623667253698</v>
      </c>
      <c r="G96" s="6">
        <v>45015</v>
      </c>
      <c r="H96" s="7">
        <v>0.56413054876588398</v>
      </c>
      <c r="I96" s="5"/>
    </row>
    <row r="97" spans="1:9" ht="14.4">
      <c r="A97" s="3" t="s">
        <v>141</v>
      </c>
      <c r="B97" s="4" t="s">
        <v>129</v>
      </c>
      <c r="C97" s="5" t="s">
        <v>22</v>
      </c>
      <c r="D97" s="6">
        <v>44774</v>
      </c>
      <c r="E97" s="7">
        <v>5</v>
      </c>
      <c r="F97" s="7">
        <v>0.309379274915278</v>
      </c>
      <c r="G97" s="6">
        <v>45015</v>
      </c>
      <c r="H97" s="7">
        <v>6.4512653240185102E-3</v>
      </c>
      <c r="I97" s="5"/>
    </row>
    <row r="98" spans="1:9" ht="14.4">
      <c r="A98" s="3" t="s">
        <v>142</v>
      </c>
      <c r="B98" s="4" t="s">
        <v>103</v>
      </c>
      <c r="C98" s="5" t="s">
        <v>104</v>
      </c>
      <c r="D98" s="6">
        <v>44396</v>
      </c>
      <c r="E98" s="7">
        <v>7</v>
      </c>
      <c r="F98" s="7">
        <v>0.55211790295911001</v>
      </c>
      <c r="G98" s="6">
        <v>45011</v>
      </c>
      <c r="H98" s="7">
        <v>0.33871055216854301</v>
      </c>
      <c r="I98" s="5"/>
    </row>
    <row r="99" spans="1:9" ht="14.4">
      <c r="A99" s="3" t="s">
        <v>143</v>
      </c>
      <c r="B99" s="4" t="s">
        <v>129</v>
      </c>
      <c r="C99" s="5" t="s">
        <v>22</v>
      </c>
      <c r="D99" s="6">
        <v>44491</v>
      </c>
      <c r="E99" s="7">
        <v>4</v>
      </c>
      <c r="F99" s="7">
        <v>0.20150989296011099</v>
      </c>
      <c r="G99" s="6">
        <v>45067</v>
      </c>
      <c r="H99" s="7">
        <v>0.23936851527945999</v>
      </c>
      <c r="I99" s="5"/>
    </row>
    <row r="100" spans="1:9" ht="14.4">
      <c r="A100" s="3" t="s">
        <v>144</v>
      </c>
      <c r="B100" s="4" t="s">
        <v>15</v>
      </c>
      <c r="C100" s="5" t="s">
        <v>10</v>
      </c>
      <c r="D100" s="6">
        <v>44534</v>
      </c>
      <c r="E100" s="7">
        <v>5</v>
      </c>
      <c r="F100" s="7">
        <v>0.18484009932934201</v>
      </c>
      <c r="G100" s="6">
        <v>44952</v>
      </c>
      <c r="H100" s="7">
        <v>0.17511595791935999</v>
      </c>
      <c r="I100" s="5"/>
    </row>
    <row r="101" spans="1:9" ht="14.4">
      <c r="A101" s="3" t="s">
        <v>145</v>
      </c>
      <c r="B101" s="4" t="s">
        <v>30</v>
      </c>
      <c r="C101" s="5" t="s">
        <v>31</v>
      </c>
      <c r="D101" s="6">
        <v>44872</v>
      </c>
      <c r="E101" s="7">
        <v>6</v>
      </c>
      <c r="F101" s="7">
        <v>0.34955930087119302</v>
      </c>
      <c r="G101" s="6">
        <v>44929</v>
      </c>
      <c r="H101" s="7">
        <v>0.53327527116873796</v>
      </c>
      <c r="I101" s="5"/>
    </row>
    <row r="102" spans="1:9" ht="14.4">
      <c r="A102" s="3" t="s">
        <v>146</v>
      </c>
      <c r="B102" s="4" t="s">
        <v>103</v>
      </c>
      <c r="C102" s="5" t="s">
        <v>104</v>
      </c>
      <c r="D102" s="6">
        <v>44468</v>
      </c>
      <c r="E102" s="7">
        <v>3</v>
      </c>
      <c r="F102" s="7">
        <v>0.93189165277683395</v>
      </c>
      <c r="G102" s="6">
        <v>44962</v>
      </c>
      <c r="H102" s="7">
        <v>2.43785689040747E-2</v>
      </c>
      <c r="I102" s="5"/>
    </row>
    <row r="103" spans="1:9" ht="14.4">
      <c r="A103" s="3" t="s">
        <v>147</v>
      </c>
      <c r="B103" s="4" t="s">
        <v>73</v>
      </c>
      <c r="C103" s="5" t="s">
        <v>74</v>
      </c>
      <c r="D103" s="6">
        <v>44921</v>
      </c>
      <c r="E103" s="7">
        <v>10</v>
      </c>
      <c r="F103" s="7">
        <v>0.68735083469695002</v>
      </c>
      <c r="G103" s="6">
        <v>44990</v>
      </c>
      <c r="H103" s="7">
        <v>0.41787841201432302</v>
      </c>
      <c r="I103" s="5"/>
    </row>
    <row r="104" spans="1:9" ht="14.4">
      <c r="A104" s="3" t="s">
        <v>148</v>
      </c>
      <c r="B104" s="4" t="s">
        <v>39</v>
      </c>
      <c r="C104" s="5" t="s">
        <v>40</v>
      </c>
      <c r="D104" s="6">
        <v>44605</v>
      </c>
      <c r="E104" s="7">
        <v>5</v>
      </c>
      <c r="F104" s="7">
        <v>0.17493546348643599</v>
      </c>
      <c r="G104" s="6">
        <v>45001</v>
      </c>
      <c r="H104" s="7">
        <v>0.83666855090333903</v>
      </c>
      <c r="I104" s="5"/>
    </row>
    <row r="105" spans="1:9" ht="14.4">
      <c r="A105" s="3" t="s">
        <v>149</v>
      </c>
      <c r="B105" s="4" t="s">
        <v>103</v>
      </c>
      <c r="C105" s="5" t="s">
        <v>104</v>
      </c>
      <c r="D105" s="6">
        <v>44659</v>
      </c>
      <c r="E105" s="7">
        <v>7</v>
      </c>
      <c r="F105" s="7">
        <v>0.75215132834364595</v>
      </c>
      <c r="G105" s="6">
        <v>45051</v>
      </c>
      <c r="H105" s="7">
        <v>2.6168363795351798E-2</v>
      </c>
      <c r="I105" s="5"/>
    </row>
    <row r="106" spans="1:9" ht="14.4">
      <c r="A106" s="3" t="s">
        <v>150</v>
      </c>
      <c r="B106" s="4" t="s">
        <v>39</v>
      </c>
      <c r="C106" s="5" t="s">
        <v>40</v>
      </c>
      <c r="D106" s="6">
        <v>44263</v>
      </c>
      <c r="E106" s="7">
        <v>1</v>
      </c>
      <c r="F106" s="7">
        <v>0.30953917056170199</v>
      </c>
      <c r="G106" s="6">
        <v>45058</v>
      </c>
      <c r="H106" s="7">
        <v>0.66043948995340296</v>
      </c>
      <c r="I106" s="5"/>
    </row>
    <row r="107" spans="1:9" ht="14.4">
      <c r="A107" s="3" t="s">
        <v>151</v>
      </c>
      <c r="B107" s="4" t="s">
        <v>61</v>
      </c>
      <c r="C107" s="5" t="s">
        <v>62</v>
      </c>
      <c r="D107" s="6">
        <v>44422</v>
      </c>
      <c r="E107" s="7">
        <v>10</v>
      </c>
      <c r="F107" s="7">
        <v>0.62147829765565299</v>
      </c>
      <c r="G107" s="6">
        <v>45045</v>
      </c>
      <c r="H107" s="7">
        <v>0.44466276095616802</v>
      </c>
      <c r="I107" s="5"/>
    </row>
    <row r="108" spans="1:9" ht="14.4">
      <c r="A108" s="3" t="s">
        <v>152</v>
      </c>
      <c r="B108" s="4" t="s">
        <v>58</v>
      </c>
      <c r="C108" s="5" t="s">
        <v>59</v>
      </c>
      <c r="D108" s="6">
        <v>44903</v>
      </c>
      <c r="E108" s="7">
        <v>7</v>
      </c>
      <c r="F108" s="7">
        <v>0.60752716500644899</v>
      </c>
      <c r="G108" s="6">
        <v>45029</v>
      </c>
      <c r="H108" s="7">
        <v>0.90286839870973001</v>
      </c>
      <c r="I108" s="5"/>
    </row>
    <row r="109" spans="1:9" ht="14.4">
      <c r="A109" s="3" t="s">
        <v>153</v>
      </c>
      <c r="B109" s="4" t="s">
        <v>46</v>
      </c>
      <c r="C109" s="5" t="s">
        <v>47</v>
      </c>
      <c r="D109" s="6">
        <v>44810</v>
      </c>
      <c r="E109" s="7">
        <v>10</v>
      </c>
      <c r="F109" s="7">
        <v>8.0126723415399101E-2</v>
      </c>
      <c r="G109" s="6">
        <v>44973</v>
      </c>
      <c r="H109" s="7">
        <v>0.51635999068168204</v>
      </c>
      <c r="I109" s="5"/>
    </row>
    <row r="110" spans="1:9" ht="14.4">
      <c r="A110" s="3" t="s">
        <v>154</v>
      </c>
      <c r="B110" s="4" t="s">
        <v>21</v>
      </c>
      <c r="C110" s="5" t="s">
        <v>22</v>
      </c>
      <c r="D110" s="6">
        <v>44716</v>
      </c>
      <c r="E110" s="7">
        <v>1</v>
      </c>
      <c r="F110" s="7">
        <v>0.165768699711766</v>
      </c>
      <c r="G110" s="6">
        <v>44958</v>
      </c>
      <c r="H110" s="7">
        <v>0.35219920122081899</v>
      </c>
      <c r="I110" s="5"/>
    </row>
    <row r="111" spans="1:9" ht="14.4">
      <c r="A111" s="3" t="s">
        <v>155</v>
      </c>
      <c r="B111" s="4" t="s">
        <v>58</v>
      </c>
      <c r="C111" s="5" t="s">
        <v>59</v>
      </c>
      <c r="D111" s="6">
        <v>44276</v>
      </c>
      <c r="E111" s="7">
        <v>7</v>
      </c>
      <c r="F111" s="7">
        <v>0.95038285910889397</v>
      </c>
      <c r="G111" s="6">
        <v>45067</v>
      </c>
      <c r="H111" s="7">
        <v>0.493774747227402</v>
      </c>
      <c r="I111" s="5"/>
    </row>
    <row r="112" spans="1:9" ht="14.4">
      <c r="A112" s="3" t="s">
        <v>156</v>
      </c>
      <c r="B112" s="4" t="s">
        <v>17</v>
      </c>
      <c r="C112" s="5" t="s">
        <v>18</v>
      </c>
      <c r="D112" s="6">
        <v>44709</v>
      </c>
      <c r="E112" s="7">
        <v>8</v>
      </c>
      <c r="F112" s="7">
        <v>0.34324624551472199</v>
      </c>
      <c r="G112" s="6">
        <v>44980</v>
      </c>
      <c r="H112" s="7">
        <v>5.5941217861464797E-2</v>
      </c>
      <c r="I112" s="5"/>
    </row>
    <row r="113" spans="1:9" ht="14.4">
      <c r="A113" s="3" t="s">
        <v>157</v>
      </c>
      <c r="B113" s="4" t="s">
        <v>58</v>
      </c>
      <c r="C113" s="5" t="s">
        <v>59</v>
      </c>
      <c r="D113" s="6">
        <v>44907</v>
      </c>
      <c r="E113" s="7">
        <v>9</v>
      </c>
      <c r="F113" s="7">
        <v>0.88394112549340798</v>
      </c>
      <c r="G113" s="6">
        <v>44949</v>
      </c>
      <c r="H113" s="7">
        <v>0.170650898099275</v>
      </c>
      <c r="I113" s="5"/>
    </row>
    <row r="114" spans="1:9" ht="14.4">
      <c r="A114" s="3" t="s">
        <v>158</v>
      </c>
      <c r="B114" s="4" t="s">
        <v>12</v>
      </c>
      <c r="C114" s="5" t="s">
        <v>13</v>
      </c>
      <c r="D114" s="6">
        <v>44578</v>
      </c>
      <c r="E114" s="7">
        <v>2</v>
      </c>
      <c r="F114" s="7">
        <v>0.19124266932346201</v>
      </c>
      <c r="G114" s="6">
        <v>44953</v>
      </c>
      <c r="H114" s="7">
        <v>0.44988838372928502</v>
      </c>
      <c r="I114" s="5"/>
    </row>
    <row r="115" spans="1:9" ht="14.4">
      <c r="A115" s="3" t="s">
        <v>159</v>
      </c>
      <c r="B115" s="4" t="s">
        <v>43</v>
      </c>
      <c r="C115" s="5" t="s">
        <v>44</v>
      </c>
      <c r="D115" s="6">
        <v>44324</v>
      </c>
      <c r="E115" s="7">
        <v>9</v>
      </c>
      <c r="F115" s="7">
        <v>0.70237024955138705</v>
      </c>
      <c r="G115" s="6">
        <v>45039</v>
      </c>
      <c r="H115" s="7">
        <v>0.23474526869976101</v>
      </c>
      <c r="I115" s="5"/>
    </row>
    <row r="116" spans="1:9" ht="14.4">
      <c r="A116" s="3" t="s">
        <v>160</v>
      </c>
      <c r="B116" s="4" t="s">
        <v>24</v>
      </c>
      <c r="C116" s="5" t="s">
        <v>25</v>
      </c>
      <c r="D116" s="6">
        <v>44464</v>
      </c>
      <c r="E116" s="7">
        <v>1</v>
      </c>
      <c r="F116" s="7">
        <v>0.47664293083306503</v>
      </c>
      <c r="G116" s="6">
        <v>44998</v>
      </c>
      <c r="H116" s="7">
        <v>0.23032087534575099</v>
      </c>
      <c r="I116" s="5"/>
    </row>
    <row r="117" spans="1:9" ht="14.4">
      <c r="A117" s="3" t="s">
        <v>161</v>
      </c>
      <c r="B117" s="4" t="s">
        <v>61</v>
      </c>
      <c r="C117" s="5" t="s">
        <v>62</v>
      </c>
      <c r="D117" s="6">
        <v>44581</v>
      </c>
      <c r="E117" s="7">
        <v>8</v>
      </c>
      <c r="F117" s="7">
        <v>0.52894618812607497</v>
      </c>
      <c r="G117" s="6">
        <v>44998</v>
      </c>
      <c r="H117" s="7">
        <v>0.14894391596640999</v>
      </c>
      <c r="I117" s="5"/>
    </row>
    <row r="118" spans="1:9" ht="14.4">
      <c r="A118" s="3" t="s">
        <v>162</v>
      </c>
      <c r="B118" s="4" t="s">
        <v>103</v>
      </c>
      <c r="C118" s="5" t="s">
        <v>104</v>
      </c>
      <c r="D118" s="6">
        <v>44595</v>
      </c>
      <c r="E118" s="7">
        <v>1</v>
      </c>
      <c r="F118" s="7">
        <v>0.90771622925444195</v>
      </c>
      <c r="G118" s="6">
        <v>44956</v>
      </c>
      <c r="H118" s="7">
        <v>0.76439006848756197</v>
      </c>
      <c r="I118" s="5"/>
    </row>
    <row r="119" spans="1:9" ht="14.4">
      <c r="A119" s="3" t="s">
        <v>163</v>
      </c>
      <c r="B119" s="4" t="s">
        <v>54</v>
      </c>
      <c r="C119" s="5" t="s">
        <v>55</v>
      </c>
      <c r="D119" s="6">
        <v>44625</v>
      </c>
      <c r="E119" s="7">
        <v>4</v>
      </c>
      <c r="F119" s="7">
        <v>0.93532778717298004</v>
      </c>
      <c r="G119" s="6">
        <v>44933</v>
      </c>
      <c r="H119" s="7">
        <v>2.9378328012187802E-2</v>
      </c>
      <c r="I119" s="5"/>
    </row>
    <row r="120" spans="1:9" ht="14.4">
      <c r="A120" s="3" t="s">
        <v>164</v>
      </c>
      <c r="B120" s="4" t="s">
        <v>9</v>
      </c>
      <c r="C120" s="5" t="s">
        <v>10</v>
      </c>
      <c r="D120" s="6">
        <v>44801</v>
      </c>
      <c r="E120" s="7">
        <v>6</v>
      </c>
      <c r="F120" s="7">
        <v>0.103932010083317</v>
      </c>
      <c r="G120" s="6">
        <v>44985</v>
      </c>
      <c r="H120" s="8">
        <v>6.0761804468123501E-5</v>
      </c>
      <c r="I120" s="5"/>
    </row>
    <row r="121" spans="1:9" ht="14.4">
      <c r="A121" s="3" t="s">
        <v>165</v>
      </c>
      <c r="B121" s="4" t="s">
        <v>15</v>
      </c>
      <c r="C121" s="5" t="s">
        <v>10</v>
      </c>
      <c r="D121" s="6">
        <v>44589</v>
      </c>
      <c r="E121" s="7">
        <v>3</v>
      </c>
      <c r="F121" s="7">
        <v>0.33696098865178298</v>
      </c>
      <c r="G121" s="6">
        <v>45034</v>
      </c>
      <c r="H121" s="7">
        <v>0.68587611661549097</v>
      </c>
      <c r="I121" s="5"/>
    </row>
    <row r="122" spans="1:9" ht="14.4">
      <c r="A122" s="3" t="s">
        <v>166</v>
      </c>
      <c r="B122" s="4" t="s">
        <v>46</v>
      </c>
      <c r="C122" s="5" t="s">
        <v>47</v>
      </c>
      <c r="D122" s="6">
        <v>44733</v>
      </c>
      <c r="E122" s="7">
        <v>9</v>
      </c>
      <c r="F122" s="7">
        <v>0.32825674154548301</v>
      </c>
      <c r="G122" s="6">
        <v>44981</v>
      </c>
      <c r="H122" s="7">
        <v>0.48045519677837101</v>
      </c>
      <c r="I122" s="5"/>
    </row>
    <row r="123" spans="1:9" ht="14.4">
      <c r="A123" s="3" t="s">
        <v>167</v>
      </c>
      <c r="B123" s="4" t="s">
        <v>17</v>
      </c>
      <c r="C123" s="5" t="s">
        <v>18</v>
      </c>
      <c r="D123" s="6">
        <v>44879</v>
      </c>
      <c r="E123" s="7">
        <v>10</v>
      </c>
      <c r="F123" s="7">
        <v>0.47307005712237998</v>
      </c>
      <c r="G123" s="6">
        <v>44937</v>
      </c>
      <c r="H123" s="7">
        <v>0.10169187940690801</v>
      </c>
      <c r="I123" s="5"/>
    </row>
    <row r="124" spans="1:9" ht="14.4">
      <c r="A124" s="3" t="s">
        <v>168</v>
      </c>
      <c r="B124" s="4" t="s">
        <v>34</v>
      </c>
      <c r="C124" s="5" t="s">
        <v>35</v>
      </c>
      <c r="D124" s="6">
        <v>44371</v>
      </c>
      <c r="E124" s="7">
        <v>9</v>
      </c>
      <c r="F124" s="7">
        <v>0.71248835178386805</v>
      </c>
      <c r="G124" s="6">
        <v>44975</v>
      </c>
      <c r="H124" s="7">
        <v>0.42914106932160101</v>
      </c>
      <c r="I124" s="5"/>
    </row>
    <row r="125" spans="1:9" ht="14.4">
      <c r="A125" s="3" t="s">
        <v>169</v>
      </c>
      <c r="B125" s="4" t="s">
        <v>27</v>
      </c>
      <c r="C125" s="5" t="s">
        <v>28</v>
      </c>
      <c r="D125" s="6">
        <v>44792</v>
      </c>
      <c r="E125" s="7">
        <v>1</v>
      </c>
      <c r="F125" s="7">
        <v>0.87147093954098998</v>
      </c>
      <c r="G125" s="6">
        <v>44967</v>
      </c>
      <c r="H125" s="7">
        <v>0.35443622359295701</v>
      </c>
      <c r="I125" s="5"/>
    </row>
    <row r="126" spans="1:9" ht="14.4">
      <c r="A126" s="3" t="s">
        <v>170</v>
      </c>
      <c r="B126" s="4" t="s">
        <v>12</v>
      </c>
      <c r="C126" s="5" t="s">
        <v>13</v>
      </c>
      <c r="D126" s="6">
        <v>44272</v>
      </c>
      <c r="E126" s="7">
        <v>6</v>
      </c>
      <c r="F126" s="7">
        <v>5.4464754581670202E-2</v>
      </c>
      <c r="G126" s="6">
        <v>45013</v>
      </c>
      <c r="H126" s="7">
        <v>0.49434155447053002</v>
      </c>
      <c r="I126" s="5"/>
    </row>
    <row r="127" spans="1:9" ht="14.4">
      <c r="A127" s="3" t="s">
        <v>171</v>
      </c>
      <c r="B127" s="4" t="s">
        <v>103</v>
      </c>
      <c r="C127" s="5" t="s">
        <v>104</v>
      </c>
      <c r="D127" s="6">
        <v>44886</v>
      </c>
      <c r="E127" s="7">
        <v>8</v>
      </c>
      <c r="F127" s="7">
        <v>0.46539821567982897</v>
      </c>
      <c r="G127" s="6">
        <v>45038</v>
      </c>
      <c r="H127" s="7">
        <v>0.39766402949830199</v>
      </c>
      <c r="I127" s="5"/>
    </row>
    <row r="128" spans="1:9" ht="14.4">
      <c r="A128" s="3" t="s">
        <v>172</v>
      </c>
      <c r="B128" s="4" t="s">
        <v>58</v>
      </c>
      <c r="C128" s="5" t="s">
        <v>59</v>
      </c>
      <c r="D128" s="6">
        <v>44380</v>
      </c>
      <c r="E128" s="7">
        <v>2</v>
      </c>
      <c r="F128" s="7">
        <v>0.41769016811982401</v>
      </c>
      <c r="G128" s="6">
        <v>44990</v>
      </c>
      <c r="H128" s="7">
        <v>0.67060305745283799</v>
      </c>
      <c r="I128" s="5"/>
    </row>
    <row r="129" spans="1:9" ht="14.4">
      <c r="A129" s="3" t="s">
        <v>173</v>
      </c>
      <c r="B129" s="4" t="s">
        <v>46</v>
      </c>
      <c r="C129" s="5" t="s">
        <v>47</v>
      </c>
      <c r="D129" s="6">
        <v>44661</v>
      </c>
      <c r="E129" s="7">
        <v>5</v>
      </c>
      <c r="F129" s="7">
        <v>0.90898321519765801</v>
      </c>
      <c r="G129" s="6">
        <v>45067</v>
      </c>
      <c r="H129" s="7">
        <v>0.71076510162728801</v>
      </c>
      <c r="I129" s="5"/>
    </row>
    <row r="130" spans="1:9" ht="14.4">
      <c r="A130" s="3" t="s">
        <v>174</v>
      </c>
      <c r="B130" s="4" t="s">
        <v>103</v>
      </c>
      <c r="C130" s="5" t="s">
        <v>104</v>
      </c>
      <c r="D130" s="6">
        <v>44297</v>
      </c>
      <c r="E130" s="7">
        <v>2</v>
      </c>
      <c r="F130" s="7">
        <v>2.2277472344418001E-2</v>
      </c>
      <c r="G130" s="6">
        <v>45053</v>
      </c>
      <c r="H130" s="7">
        <v>0.31572522679826798</v>
      </c>
      <c r="I130" s="5"/>
    </row>
    <row r="131" spans="1:9" ht="14.4">
      <c r="A131" s="3" t="s">
        <v>175</v>
      </c>
      <c r="B131" s="4" t="s">
        <v>15</v>
      </c>
      <c r="C131" s="5" t="s">
        <v>10</v>
      </c>
      <c r="D131" s="6">
        <v>44223</v>
      </c>
      <c r="E131" s="7">
        <v>10</v>
      </c>
      <c r="F131" s="7">
        <v>4.84656763549157E-2</v>
      </c>
      <c r="G131" s="6">
        <v>45041</v>
      </c>
      <c r="H131" s="7">
        <v>0.76568330987062005</v>
      </c>
      <c r="I131" s="5"/>
    </row>
    <row r="132" spans="1:9" ht="14.4">
      <c r="A132" s="3" t="s">
        <v>176</v>
      </c>
      <c r="B132" s="4" t="s">
        <v>73</v>
      </c>
      <c r="C132" s="5" t="s">
        <v>74</v>
      </c>
      <c r="D132" s="6">
        <v>44616</v>
      </c>
      <c r="E132" s="7">
        <v>10</v>
      </c>
      <c r="F132" s="7">
        <v>0.29076178482231801</v>
      </c>
      <c r="G132" s="6">
        <v>44945</v>
      </c>
      <c r="H132" s="7">
        <v>0.33143123502147698</v>
      </c>
      <c r="I132" s="5"/>
    </row>
    <row r="133" spans="1:9" ht="14.4">
      <c r="A133" s="3" t="s">
        <v>177</v>
      </c>
      <c r="B133" s="4" t="s">
        <v>81</v>
      </c>
      <c r="C133" s="5" t="s">
        <v>62</v>
      </c>
      <c r="D133" s="6">
        <v>44398</v>
      </c>
      <c r="E133" s="7">
        <v>6</v>
      </c>
      <c r="F133" s="7">
        <v>0.74483031602755301</v>
      </c>
      <c r="G133" s="6">
        <v>45067</v>
      </c>
      <c r="H133" s="7">
        <v>0.45618689536000101</v>
      </c>
      <c r="I133" s="5"/>
    </row>
    <row r="134" spans="1:9" ht="14.4">
      <c r="A134" s="3" t="s">
        <v>178</v>
      </c>
      <c r="B134" s="4" t="s">
        <v>30</v>
      </c>
      <c r="C134" s="5" t="s">
        <v>31</v>
      </c>
      <c r="D134" s="6">
        <v>44244</v>
      </c>
      <c r="E134" s="7">
        <v>2</v>
      </c>
      <c r="F134" s="7">
        <v>0.55145811024395297</v>
      </c>
      <c r="G134" s="6">
        <v>44938</v>
      </c>
      <c r="H134" s="7">
        <v>0.43942741221319298</v>
      </c>
      <c r="I134" s="5"/>
    </row>
    <row r="135" spans="1:9" ht="14.4">
      <c r="A135" s="3" t="s">
        <v>179</v>
      </c>
      <c r="B135" s="4" t="s">
        <v>34</v>
      </c>
      <c r="C135" s="5" t="s">
        <v>35</v>
      </c>
      <c r="D135" s="6">
        <v>44715</v>
      </c>
      <c r="E135" s="7">
        <v>2</v>
      </c>
      <c r="F135" s="7">
        <v>0.75204781971908696</v>
      </c>
      <c r="G135" s="6">
        <v>45016</v>
      </c>
      <c r="H135" s="7">
        <v>0.46296822834011098</v>
      </c>
      <c r="I135" s="5"/>
    </row>
    <row r="136" spans="1:9" ht="14.4">
      <c r="A136" s="3" t="s">
        <v>180</v>
      </c>
      <c r="B136" s="4" t="s">
        <v>61</v>
      </c>
      <c r="C136" s="5" t="s">
        <v>62</v>
      </c>
      <c r="D136" s="6">
        <v>44225</v>
      </c>
      <c r="E136" s="7">
        <v>7</v>
      </c>
      <c r="F136" s="7">
        <v>0.47691846634392299</v>
      </c>
      <c r="G136" s="6">
        <v>44981</v>
      </c>
      <c r="H136" s="7">
        <v>0.46204966570717498</v>
      </c>
      <c r="I136" s="5"/>
    </row>
    <row r="137" spans="1:9" ht="14.4">
      <c r="A137" s="3" t="s">
        <v>181</v>
      </c>
      <c r="B137" s="4" t="s">
        <v>129</v>
      </c>
      <c r="C137" s="5" t="s">
        <v>22</v>
      </c>
      <c r="D137" s="6">
        <v>44442</v>
      </c>
      <c r="E137" s="7">
        <v>9</v>
      </c>
      <c r="F137" s="7">
        <v>0.351563700735118</v>
      </c>
      <c r="G137" s="6">
        <v>45023</v>
      </c>
      <c r="H137" s="7">
        <v>0.95442216883254405</v>
      </c>
      <c r="I137" s="5"/>
    </row>
    <row r="138" spans="1:9" ht="14.4">
      <c r="A138" s="3" t="s">
        <v>182</v>
      </c>
      <c r="B138" s="4" t="s">
        <v>34</v>
      </c>
      <c r="C138" s="5" t="s">
        <v>35</v>
      </c>
      <c r="D138" s="6">
        <v>44878</v>
      </c>
      <c r="E138" s="7">
        <v>3</v>
      </c>
      <c r="F138" s="7">
        <v>0.708252824575899</v>
      </c>
      <c r="G138" s="6">
        <v>45047</v>
      </c>
      <c r="H138" s="7">
        <v>0.25743349659995701</v>
      </c>
      <c r="I138" s="5"/>
    </row>
    <row r="139" spans="1:9" ht="14.4">
      <c r="A139" s="3" t="s">
        <v>183</v>
      </c>
      <c r="B139" s="4" t="s">
        <v>54</v>
      </c>
      <c r="C139" s="5" t="s">
        <v>55</v>
      </c>
      <c r="D139" s="6">
        <v>44535</v>
      </c>
      <c r="E139" s="7">
        <v>6</v>
      </c>
      <c r="F139" s="7">
        <v>8.1168066351901699E-2</v>
      </c>
      <c r="G139" s="6">
        <v>45004</v>
      </c>
      <c r="H139" s="7">
        <v>0.51544985308443603</v>
      </c>
      <c r="I139" s="5"/>
    </row>
    <row r="140" spans="1:9" ht="14.4">
      <c r="A140" s="3" t="s">
        <v>184</v>
      </c>
      <c r="B140" s="4" t="s">
        <v>73</v>
      </c>
      <c r="C140" s="5" t="s">
        <v>74</v>
      </c>
      <c r="D140" s="6">
        <v>44815</v>
      </c>
      <c r="E140" s="7">
        <v>3</v>
      </c>
      <c r="F140" s="7">
        <v>0.44727279397540398</v>
      </c>
      <c r="G140" s="6">
        <v>44961</v>
      </c>
      <c r="H140" s="7">
        <v>0.72124646028638995</v>
      </c>
      <c r="I140" s="5"/>
    </row>
    <row r="141" spans="1:9" ht="14.4">
      <c r="A141" s="3" t="s">
        <v>185</v>
      </c>
      <c r="B141" s="4" t="s">
        <v>30</v>
      </c>
      <c r="C141" s="5" t="s">
        <v>31</v>
      </c>
      <c r="D141" s="6">
        <v>44690</v>
      </c>
      <c r="E141" s="7">
        <v>5</v>
      </c>
      <c r="F141" s="7">
        <v>0.55996144918041602</v>
      </c>
      <c r="G141" s="6">
        <v>44982</v>
      </c>
      <c r="H141" s="7">
        <v>4.0845294204603297E-3</v>
      </c>
      <c r="I141" s="5"/>
    </row>
    <row r="142" spans="1:9" ht="14.4">
      <c r="A142" s="3" t="s">
        <v>186</v>
      </c>
      <c r="B142" s="4" t="s">
        <v>129</v>
      </c>
      <c r="C142" s="5" t="s">
        <v>22</v>
      </c>
      <c r="D142" s="6">
        <v>44521</v>
      </c>
      <c r="E142" s="7">
        <v>4</v>
      </c>
      <c r="F142" s="7">
        <v>0.56230632063577901</v>
      </c>
      <c r="G142" s="6">
        <v>45060</v>
      </c>
      <c r="H142" s="7">
        <v>0.68743114384612203</v>
      </c>
      <c r="I142" s="5"/>
    </row>
    <row r="143" spans="1:9" ht="14.4">
      <c r="A143" s="3" t="s">
        <v>187</v>
      </c>
      <c r="B143" s="4" t="s">
        <v>30</v>
      </c>
      <c r="C143" s="5" t="s">
        <v>31</v>
      </c>
      <c r="D143" s="6">
        <v>44769</v>
      </c>
      <c r="E143" s="7">
        <v>5</v>
      </c>
      <c r="F143" s="7">
        <v>0.72618042932337601</v>
      </c>
      <c r="G143" s="6">
        <v>45013</v>
      </c>
      <c r="H143" s="7">
        <v>0.31138195774945998</v>
      </c>
      <c r="I143" s="5"/>
    </row>
    <row r="144" spans="1:9" ht="14.4">
      <c r="A144" s="3" t="s">
        <v>188</v>
      </c>
      <c r="B144" s="4" t="s">
        <v>71</v>
      </c>
      <c r="C144" s="5" t="s">
        <v>50</v>
      </c>
      <c r="D144" s="6">
        <v>44206</v>
      </c>
      <c r="E144" s="7">
        <v>3</v>
      </c>
      <c r="F144" s="7">
        <v>0.113699112632604</v>
      </c>
      <c r="G144" s="6">
        <v>45012</v>
      </c>
      <c r="H144" s="7">
        <v>3.0869795040312301E-2</v>
      </c>
      <c r="I144" s="5"/>
    </row>
    <row r="145" spans="1:9" ht="14.4">
      <c r="A145" s="3" t="s">
        <v>189</v>
      </c>
      <c r="B145" s="4" t="s">
        <v>129</v>
      </c>
      <c r="C145" s="5" t="s">
        <v>22</v>
      </c>
      <c r="D145" s="6">
        <v>44822</v>
      </c>
      <c r="E145" s="7">
        <v>1</v>
      </c>
      <c r="F145" s="7">
        <v>8.6409222229514596E-2</v>
      </c>
      <c r="G145" s="6">
        <v>44945</v>
      </c>
      <c r="H145" s="7">
        <v>0.720395287309052</v>
      </c>
      <c r="I145" s="5"/>
    </row>
    <row r="146" spans="1:9" ht="14.4">
      <c r="A146" s="3" t="s">
        <v>190</v>
      </c>
      <c r="B146" s="4" t="s">
        <v>71</v>
      </c>
      <c r="C146" s="5" t="s">
        <v>50</v>
      </c>
      <c r="D146" s="6">
        <v>44484</v>
      </c>
      <c r="E146" s="7">
        <v>4</v>
      </c>
      <c r="F146" s="7">
        <v>0.573839853564304</v>
      </c>
      <c r="G146" s="6">
        <v>45050</v>
      </c>
      <c r="H146" s="7">
        <v>0.74143260510805697</v>
      </c>
      <c r="I146" s="5"/>
    </row>
    <row r="147" spans="1:9" ht="14.4">
      <c r="A147" s="3" t="s">
        <v>191</v>
      </c>
      <c r="B147" s="4" t="s">
        <v>27</v>
      </c>
      <c r="C147" s="5" t="s">
        <v>28</v>
      </c>
      <c r="D147" s="6">
        <v>44734</v>
      </c>
      <c r="E147" s="7">
        <v>10</v>
      </c>
      <c r="F147" s="7">
        <v>5.8312359538940997E-2</v>
      </c>
      <c r="G147" s="6">
        <v>45041</v>
      </c>
      <c r="H147" s="7">
        <v>0.50418526458823998</v>
      </c>
      <c r="I147" s="5"/>
    </row>
    <row r="148" spans="1:9" ht="14.4">
      <c r="A148" s="3" t="s">
        <v>192</v>
      </c>
      <c r="B148" s="4" t="s">
        <v>54</v>
      </c>
      <c r="C148" s="5" t="s">
        <v>55</v>
      </c>
      <c r="D148" s="6">
        <v>44480</v>
      </c>
      <c r="E148" s="7">
        <v>7</v>
      </c>
      <c r="F148" s="7">
        <v>0.717702757066082</v>
      </c>
      <c r="G148" s="6">
        <v>44936</v>
      </c>
      <c r="H148" s="7">
        <v>0.1182538345041</v>
      </c>
      <c r="I148" s="5"/>
    </row>
    <row r="149" spans="1:9" ht="14.4">
      <c r="A149" s="3" t="s">
        <v>193</v>
      </c>
      <c r="B149" s="4" t="s">
        <v>24</v>
      </c>
      <c r="C149" s="5" t="s">
        <v>25</v>
      </c>
      <c r="D149" s="6">
        <v>44534</v>
      </c>
      <c r="E149" s="7">
        <v>1</v>
      </c>
      <c r="F149" s="7">
        <v>0.29181649358212502</v>
      </c>
      <c r="G149" s="6">
        <v>44944</v>
      </c>
      <c r="H149" s="7">
        <v>0.59525600260086198</v>
      </c>
      <c r="I149" s="5"/>
    </row>
    <row r="150" spans="1:9" ht="14.4">
      <c r="A150" s="3" t="s">
        <v>194</v>
      </c>
      <c r="B150" s="4" t="s">
        <v>58</v>
      </c>
      <c r="C150" s="5" t="s">
        <v>59</v>
      </c>
      <c r="D150" s="6">
        <v>44616</v>
      </c>
      <c r="E150" s="7">
        <v>7</v>
      </c>
      <c r="F150" s="7">
        <v>0.41475447056245102</v>
      </c>
      <c r="G150" s="6">
        <v>44992</v>
      </c>
      <c r="H150" s="7">
        <v>0.41302964862980401</v>
      </c>
      <c r="I150" s="5"/>
    </row>
    <row r="151" spans="1:9" ht="14.4">
      <c r="A151" s="3" t="s">
        <v>195</v>
      </c>
      <c r="B151" s="4" t="s">
        <v>12</v>
      </c>
      <c r="C151" s="5" t="s">
        <v>13</v>
      </c>
      <c r="D151" s="6">
        <v>44766</v>
      </c>
      <c r="E151" s="7">
        <v>3</v>
      </c>
      <c r="F151" s="7">
        <v>0.273622029983696</v>
      </c>
      <c r="G151" s="6">
        <v>45026</v>
      </c>
      <c r="H151" s="7">
        <v>0.28004873586635498</v>
      </c>
      <c r="I151" s="5"/>
    </row>
    <row r="152" spans="1:9" ht="14.4">
      <c r="A152" s="3" t="s">
        <v>196</v>
      </c>
      <c r="B152" s="4" t="s">
        <v>103</v>
      </c>
      <c r="C152" s="5" t="s">
        <v>104</v>
      </c>
      <c r="D152" s="6">
        <v>44857</v>
      </c>
      <c r="E152" s="7">
        <v>5</v>
      </c>
      <c r="F152" s="7">
        <v>0.36944159210677702</v>
      </c>
      <c r="G152" s="6">
        <v>44944</v>
      </c>
      <c r="H152" s="7">
        <v>0.83598479662907399</v>
      </c>
      <c r="I152" s="5"/>
    </row>
    <row r="153" spans="1:9" ht="14.4">
      <c r="A153" s="3" t="s">
        <v>197</v>
      </c>
      <c r="B153" s="4" t="s">
        <v>103</v>
      </c>
      <c r="C153" s="5" t="s">
        <v>104</v>
      </c>
      <c r="D153" s="6">
        <v>44607</v>
      </c>
      <c r="E153" s="7">
        <v>1</v>
      </c>
      <c r="F153" s="7">
        <v>0.58311714000128001</v>
      </c>
      <c r="G153" s="6">
        <v>44986</v>
      </c>
      <c r="H153" s="7">
        <v>0.132094119226041</v>
      </c>
      <c r="I153" s="5"/>
    </row>
    <row r="154" spans="1:9" ht="14.4">
      <c r="A154" s="3" t="s">
        <v>198</v>
      </c>
      <c r="B154" s="4" t="s">
        <v>34</v>
      </c>
      <c r="C154" s="5" t="s">
        <v>35</v>
      </c>
      <c r="D154" s="6">
        <v>44312</v>
      </c>
      <c r="E154" s="7">
        <v>6</v>
      </c>
      <c r="F154" s="7">
        <v>0.65300297719761102</v>
      </c>
      <c r="G154" s="6">
        <v>45013</v>
      </c>
      <c r="H154" s="7">
        <v>0.67542025364515701</v>
      </c>
      <c r="I154" s="5"/>
    </row>
    <row r="155" spans="1:9" ht="14.4">
      <c r="A155" s="3" t="s">
        <v>199</v>
      </c>
      <c r="B155" s="4" t="s">
        <v>71</v>
      </c>
      <c r="C155" s="5" t="s">
        <v>50</v>
      </c>
      <c r="D155" s="6">
        <v>44684</v>
      </c>
      <c r="E155" s="7">
        <v>8</v>
      </c>
      <c r="F155" s="7">
        <v>0.29111039384551202</v>
      </c>
      <c r="G155" s="6">
        <v>45003</v>
      </c>
      <c r="H155" s="7">
        <v>0.67736656660512595</v>
      </c>
      <c r="I155" s="5"/>
    </row>
    <row r="156" spans="1:9" ht="14.4">
      <c r="A156" s="3" t="s">
        <v>200</v>
      </c>
      <c r="B156" s="4" t="s">
        <v>71</v>
      </c>
      <c r="C156" s="5" t="s">
        <v>50</v>
      </c>
      <c r="D156" s="6">
        <v>44240</v>
      </c>
      <c r="E156" s="7">
        <v>4</v>
      </c>
      <c r="F156" s="7">
        <v>0.112536236136402</v>
      </c>
      <c r="G156" s="6">
        <v>45051</v>
      </c>
      <c r="H156" s="7">
        <v>0.73892418680528005</v>
      </c>
      <c r="I156" s="5"/>
    </row>
    <row r="157" spans="1:9" ht="14.4">
      <c r="A157" s="3" t="s">
        <v>201</v>
      </c>
      <c r="B157" s="4" t="s">
        <v>34</v>
      </c>
      <c r="C157" s="5" t="s">
        <v>35</v>
      </c>
      <c r="D157" s="6">
        <v>44579</v>
      </c>
      <c r="E157" s="7">
        <v>9</v>
      </c>
      <c r="F157" s="7">
        <v>0.15192205963339001</v>
      </c>
      <c r="G157" s="6">
        <v>44999</v>
      </c>
      <c r="H157" s="7">
        <v>0.20150857478536399</v>
      </c>
      <c r="I157" s="5"/>
    </row>
    <row r="158" spans="1:9" ht="14.4">
      <c r="A158" s="3" t="s">
        <v>202</v>
      </c>
      <c r="B158" s="4" t="s">
        <v>103</v>
      </c>
      <c r="C158" s="5" t="s">
        <v>104</v>
      </c>
      <c r="D158" s="6">
        <v>44830</v>
      </c>
      <c r="E158" s="7">
        <v>2</v>
      </c>
      <c r="F158" s="7">
        <v>0.28151547287029699</v>
      </c>
      <c r="G158" s="6">
        <v>44971</v>
      </c>
      <c r="H158" s="7">
        <v>0.112845737208008</v>
      </c>
      <c r="I158" s="5"/>
    </row>
    <row r="159" spans="1:9" ht="14.4">
      <c r="A159" s="3" t="s">
        <v>203</v>
      </c>
      <c r="B159" s="4" t="s">
        <v>9</v>
      </c>
      <c r="C159" s="5" t="s">
        <v>10</v>
      </c>
      <c r="D159" s="6">
        <v>44580</v>
      </c>
      <c r="E159" s="7">
        <v>2</v>
      </c>
      <c r="F159" s="7">
        <v>0.47294292208057698</v>
      </c>
      <c r="G159" s="6">
        <v>45023</v>
      </c>
      <c r="H159" s="7">
        <v>0.79212265204075905</v>
      </c>
      <c r="I159" s="5"/>
    </row>
    <row r="160" spans="1:9" ht="14.4">
      <c r="A160" s="3" t="s">
        <v>204</v>
      </c>
      <c r="B160" s="4" t="s">
        <v>9</v>
      </c>
      <c r="C160" s="5" t="s">
        <v>10</v>
      </c>
      <c r="D160" s="6">
        <v>44605</v>
      </c>
      <c r="E160" s="7">
        <v>2</v>
      </c>
      <c r="F160" s="7">
        <v>0.95827680251471803</v>
      </c>
      <c r="G160" s="6">
        <v>45009</v>
      </c>
      <c r="H160" s="7">
        <v>0.89660265479322399</v>
      </c>
      <c r="I160" s="5"/>
    </row>
    <row r="161" spans="1:9" ht="14.4">
      <c r="A161" s="3" t="s">
        <v>205</v>
      </c>
      <c r="B161" s="4" t="s">
        <v>39</v>
      </c>
      <c r="C161" s="5" t="s">
        <v>40</v>
      </c>
      <c r="D161" s="6">
        <v>44604</v>
      </c>
      <c r="E161" s="7">
        <v>2</v>
      </c>
      <c r="F161" s="7">
        <v>0.27963347908695002</v>
      </c>
      <c r="G161" s="6">
        <v>44949</v>
      </c>
      <c r="H161" s="7">
        <v>0.24854191017697499</v>
      </c>
      <c r="I161" s="5"/>
    </row>
    <row r="162" spans="1:9" ht="14.4">
      <c r="A162" s="3" t="s">
        <v>206</v>
      </c>
      <c r="B162" s="4" t="s">
        <v>61</v>
      </c>
      <c r="C162" s="5" t="s">
        <v>62</v>
      </c>
      <c r="D162" s="6">
        <v>44257</v>
      </c>
      <c r="E162" s="7">
        <v>8</v>
      </c>
      <c r="F162" s="7">
        <v>0.434644149591145</v>
      </c>
      <c r="G162" s="6">
        <v>44955</v>
      </c>
      <c r="H162" s="7">
        <v>0.625342854199327</v>
      </c>
      <c r="I162" s="5"/>
    </row>
    <row r="163" spans="1:9" ht="14.4">
      <c r="A163" s="3" t="s">
        <v>207</v>
      </c>
      <c r="B163" s="4" t="s">
        <v>49</v>
      </c>
      <c r="C163" s="5" t="s">
        <v>50</v>
      </c>
      <c r="D163" s="6">
        <v>44745</v>
      </c>
      <c r="E163" s="7">
        <v>5</v>
      </c>
      <c r="F163" s="7">
        <v>0.74838580953710099</v>
      </c>
      <c r="G163" s="6">
        <v>44980</v>
      </c>
      <c r="H163" s="7">
        <v>0.56239389347784197</v>
      </c>
      <c r="I163" s="5"/>
    </row>
    <row r="164" spans="1:9" ht="14.4">
      <c r="A164" s="3" t="s">
        <v>208</v>
      </c>
      <c r="B164" s="4" t="s">
        <v>30</v>
      </c>
      <c r="C164" s="5" t="s">
        <v>31</v>
      </c>
      <c r="D164" s="6">
        <v>44916</v>
      </c>
      <c r="E164" s="7">
        <v>6</v>
      </c>
      <c r="F164" s="7">
        <v>0.48045901029779903</v>
      </c>
      <c r="G164" s="6">
        <v>45064</v>
      </c>
      <c r="H164" s="7">
        <v>0.433788778732414</v>
      </c>
      <c r="I164" s="5"/>
    </row>
    <row r="165" spans="1:9" ht="14.4">
      <c r="A165" s="3" t="s">
        <v>209</v>
      </c>
      <c r="B165" s="4" t="s">
        <v>58</v>
      </c>
      <c r="C165" s="5" t="s">
        <v>59</v>
      </c>
      <c r="D165" s="6">
        <v>44354</v>
      </c>
      <c r="E165" s="7">
        <v>7</v>
      </c>
      <c r="F165" s="7">
        <v>0.98744929724646802</v>
      </c>
      <c r="G165" s="6">
        <v>45049</v>
      </c>
      <c r="H165" s="7">
        <v>0.21163360381443899</v>
      </c>
      <c r="I165" s="5"/>
    </row>
    <row r="166" spans="1:9" ht="14.4">
      <c r="A166" s="3" t="s">
        <v>210</v>
      </c>
      <c r="B166" s="4" t="s">
        <v>9</v>
      </c>
      <c r="C166" s="5" t="s">
        <v>10</v>
      </c>
      <c r="D166" s="6">
        <v>44711</v>
      </c>
      <c r="E166" s="7">
        <v>3</v>
      </c>
      <c r="F166" s="7">
        <v>5.2479096578398297E-2</v>
      </c>
      <c r="G166" s="6">
        <v>45069</v>
      </c>
      <c r="H166" s="7">
        <v>5.8390055671951401E-2</v>
      </c>
      <c r="I166" s="5"/>
    </row>
    <row r="167" spans="1:9" ht="14.4">
      <c r="A167" s="3" t="s">
        <v>211</v>
      </c>
      <c r="B167" s="4" t="s">
        <v>49</v>
      </c>
      <c r="C167" s="5" t="s">
        <v>50</v>
      </c>
      <c r="D167" s="6">
        <v>44801</v>
      </c>
      <c r="E167" s="7">
        <v>4</v>
      </c>
      <c r="F167" s="7">
        <v>6.3638338964366797E-2</v>
      </c>
      <c r="G167" s="6">
        <v>45014</v>
      </c>
      <c r="H167" s="7">
        <v>0.82222519151117301</v>
      </c>
      <c r="I167" s="5"/>
    </row>
    <row r="168" spans="1:9" ht="14.4">
      <c r="A168" s="3" t="s">
        <v>212</v>
      </c>
      <c r="B168" s="4" t="s">
        <v>21</v>
      </c>
      <c r="C168" s="5" t="s">
        <v>22</v>
      </c>
      <c r="D168" s="6">
        <v>44515</v>
      </c>
      <c r="E168" s="7">
        <v>3</v>
      </c>
      <c r="F168" s="7">
        <v>7.0327700844507193E-2</v>
      </c>
      <c r="G168" s="6">
        <v>44974</v>
      </c>
      <c r="H168" s="7">
        <v>9.4112460113233404E-2</v>
      </c>
      <c r="I168" s="5"/>
    </row>
    <row r="169" spans="1:9" ht="14.4">
      <c r="A169" s="3" t="s">
        <v>213</v>
      </c>
      <c r="B169" s="4" t="s">
        <v>81</v>
      </c>
      <c r="C169" s="5" t="s">
        <v>62</v>
      </c>
      <c r="D169" s="6">
        <v>44897</v>
      </c>
      <c r="E169" s="7">
        <v>3</v>
      </c>
      <c r="F169" s="7">
        <v>0.95057620706778501</v>
      </c>
      <c r="G169" s="6">
        <v>45040</v>
      </c>
      <c r="H169" s="7">
        <v>0.96163422719710601</v>
      </c>
      <c r="I169" s="5"/>
    </row>
    <row r="170" spans="1:9" ht="14.4">
      <c r="A170" s="3" t="s">
        <v>214</v>
      </c>
      <c r="B170" s="4" t="s">
        <v>103</v>
      </c>
      <c r="C170" s="5" t="s">
        <v>104</v>
      </c>
      <c r="D170" s="6">
        <v>44903</v>
      </c>
      <c r="E170" s="7">
        <v>1</v>
      </c>
      <c r="F170" s="7">
        <v>0.48177369539871401</v>
      </c>
      <c r="G170" s="6">
        <v>45046</v>
      </c>
      <c r="H170" s="7">
        <v>0.92834498334210402</v>
      </c>
      <c r="I170" s="5"/>
    </row>
    <row r="171" spans="1:9" ht="14.4">
      <c r="A171" s="3" t="s">
        <v>215</v>
      </c>
      <c r="B171" s="4" t="s">
        <v>54</v>
      </c>
      <c r="C171" s="5" t="s">
        <v>55</v>
      </c>
      <c r="D171" s="6">
        <v>44204</v>
      </c>
      <c r="E171" s="7">
        <v>2</v>
      </c>
      <c r="F171" s="7">
        <v>0.43098053100217298</v>
      </c>
      <c r="G171" s="6">
        <v>44948</v>
      </c>
      <c r="H171" s="7">
        <v>0.43731221847381901</v>
      </c>
      <c r="I171" s="5"/>
    </row>
    <row r="172" spans="1:9" ht="14.4">
      <c r="A172" s="3" t="s">
        <v>216</v>
      </c>
      <c r="B172" s="4" t="s">
        <v>24</v>
      </c>
      <c r="C172" s="5" t="s">
        <v>25</v>
      </c>
      <c r="D172" s="6">
        <v>44439</v>
      </c>
      <c r="E172" s="7">
        <v>8</v>
      </c>
      <c r="F172" s="7">
        <v>0.59735476523394404</v>
      </c>
      <c r="G172" s="6">
        <v>44982</v>
      </c>
      <c r="H172" s="7">
        <v>0.16822758298431501</v>
      </c>
      <c r="I172" s="5"/>
    </row>
    <row r="173" spans="1:9" ht="14.4">
      <c r="A173" s="3" t="s">
        <v>217</v>
      </c>
      <c r="B173" s="4" t="s">
        <v>24</v>
      </c>
      <c r="C173" s="5" t="s">
        <v>25</v>
      </c>
      <c r="D173" s="6">
        <v>44449</v>
      </c>
      <c r="E173" s="7">
        <v>6</v>
      </c>
      <c r="F173" s="7">
        <v>0.26280269378864801</v>
      </c>
      <c r="G173" s="6">
        <v>45014</v>
      </c>
      <c r="H173" s="7">
        <v>0.14823080489066301</v>
      </c>
      <c r="I173" s="5"/>
    </row>
    <row r="174" spans="1:9" ht="14.4">
      <c r="A174" s="3" t="s">
        <v>218</v>
      </c>
      <c r="B174" s="4" t="s">
        <v>49</v>
      </c>
      <c r="C174" s="5" t="s">
        <v>50</v>
      </c>
      <c r="D174" s="6">
        <v>44779</v>
      </c>
      <c r="E174" s="7">
        <v>4</v>
      </c>
      <c r="F174" s="7">
        <v>0.90284110874477896</v>
      </c>
      <c r="G174" s="6">
        <v>45008</v>
      </c>
      <c r="H174" s="7">
        <v>0.63507569454438495</v>
      </c>
      <c r="I174" s="5"/>
    </row>
    <row r="175" spans="1:9" ht="14.4">
      <c r="A175" s="3" t="s">
        <v>219</v>
      </c>
      <c r="B175" s="4" t="s">
        <v>17</v>
      </c>
      <c r="C175" s="5" t="s">
        <v>18</v>
      </c>
      <c r="D175" s="6">
        <v>44241</v>
      </c>
      <c r="E175" s="7">
        <v>6</v>
      </c>
      <c r="F175" s="7">
        <v>0.98199261995326603</v>
      </c>
      <c r="G175" s="6">
        <v>44994</v>
      </c>
      <c r="H175" s="7">
        <v>0.54481123922804697</v>
      </c>
      <c r="I175" s="5"/>
    </row>
    <row r="176" spans="1:9" ht="14.4">
      <c r="A176" s="3" t="s">
        <v>220</v>
      </c>
      <c r="B176" s="4" t="s">
        <v>43</v>
      </c>
      <c r="C176" s="5" t="s">
        <v>44</v>
      </c>
      <c r="D176" s="6">
        <v>44229</v>
      </c>
      <c r="E176" s="7">
        <v>3</v>
      </c>
      <c r="F176" s="7">
        <v>0.84716039463076198</v>
      </c>
      <c r="G176" s="6">
        <v>45067</v>
      </c>
      <c r="H176" s="7">
        <v>1.3086187744415801E-2</v>
      </c>
      <c r="I176" s="5"/>
    </row>
    <row r="177" spans="1:9" ht="14.4">
      <c r="A177" s="3" t="s">
        <v>221</v>
      </c>
      <c r="B177" s="4" t="s">
        <v>129</v>
      </c>
      <c r="C177" s="5" t="s">
        <v>22</v>
      </c>
      <c r="D177" s="6">
        <v>44836</v>
      </c>
      <c r="E177" s="7">
        <v>5</v>
      </c>
      <c r="F177" s="7">
        <v>0.30637569785375002</v>
      </c>
      <c r="G177" s="6">
        <v>45008</v>
      </c>
      <c r="H177" s="7">
        <v>1.25503463839893E-3</v>
      </c>
      <c r="I177" s="5"/>
    </row>
    <row r="178" spans="1:9" ht="14.4">
      <c r="A178" s="3" t="s">
        <v>222</v>
      </c>
      <c r="B178" s="4" t="s">
        <v>49</v>
      </c>
      <c r="C178" s="5" t="s">
        <v>50</v>
      </c>
      <c r="D178" s="6">
        <v>44211</v>
      </c>
      <c r="E178" s="7">
        <v>6</v>
      </c>
      <c r="F178" s="7">
        <v>0.76879912576772802</v>
      </c>
      <c r="G178" s="6">
        <v>45006</v>
      </c>
      <c r="H178" s="7">
        <v>0.86548533755676105</v>
      </c>
      <c r="I178" s="5"/>
    </row>
    <row r="179" spans="1:9" ht="14.4">
      <c r="A179" s="3" t="s">
        <v>223</v>
      </c>
      <c r="B179" s="4" t="s">
        <v>34</v>
      </c>
      <c r="C179" s="5" t="s">
        <v>35</v>
      </c>
      <c r="D179" s="6">
        <v>44514</v>
      </c>
      <c r="E179" s="7">
        <v>7</v>
      </c>
      <c r="F179" s="7">
        <v>0.38563992038543599</v>
      </c>
      <c r="G179" s="6">
        <v>45004</v>
      </c>
      <c r="H179" s="7">
        <v>0.508902669316179</v>
      </c>
      <c r="I179" s="5"/>
    </row>
    <row r="180" spans="1:9" ht="14.4">
      <c r="A180" s="3" t="s">
        <v>224</v>
      </c>
      <c r="B180" s="4" t="s">
        <v>81</v>
      </c>
      <c r="C180" s="5" t="s">
        <v>62</v>
      </c>
      <c r="D180" s="6">
        <v>44309</v>
      </c>
      <c r="E180" s="7">
        <v>8</v>
      </c>
      <c r="F180" s="7">
        <v>0.85335977277591302</v>
      </c>
      <c r="G180" s="6">
        <v>45021</v>
      </c>
      <c r="H180" s="7">
        <v>0.99207281995433205</v>
      </c>
      <c r="I180" s="5"/>
    </row>
    <row r="181" spans="1:9" ht="14.4">
      <c r="A181" s="3" t="s">
        <v>225</v>
      </c>
      <c r="B181" s="4" t="s">
        <v>12</v>
      </c>
      <c r="C181" s="5" t="s">
        <v>13</v>
      </c>
      <c r="D181" s="6">
        <v>44289</v>
      </c>
      <c r="E181" s="7">
        <v>5</v>
      </c>
      <c r="F181" s="7">
        <v>0.28334897654743202</v>
      </c>
      <c r="G181" s="6">
        <v>44965</v>
      </c>
      <c r="H181" s="7">
        <v>0.63454053513977304</v>
      </c>
      <c r="I181" s="5"/>
    </row>
    <row r="182" spans="1:9" ht="14.4">
      <c r="A182" s="3" t="s">
        <v>226</v>
      </c>
      <c r="B182" s="4" t="s">
        <v>81</v>
      </c>
      <c r="C182" s="5" t="s">
        <v>62</v>
      </c>
      <c r="D182" s="6">
        <v>44572</v>
      </c>
      <c r="E182" s="7">
        <v>3</v>
      </c>
      <c r="F182" s="7">
        <v>0.117748642112043</v>
      </c>
      <c r="G182" s="6">
        <v>45073</v>
      </c>
      <c r="H182" s="7">
        <v>0.67092430905617095</v>
      </c>
      <c r="I182" s="5"/>
    </row>
    <row r="183" spans="1:9" ht="14.4">
      <c r="A183" s="3" t="s">
        <v>227</v>
      </c>
      <c r="B183" s="4" t="s">
        <v>39</v>
      </c>
      <c r="C183" s="5" t="s">
        <v>40</v>
      </c>
      <c r="D183" s="6">
        <v>44790</v>
      </c>
      <c r="E183" s="7">
        <v>5</v>
      </c>
      <c r="F183" s="7">
        <v>0.76783916519082696</v>
      </c>
      <c r="G183" s="6">
        <v>45021</v>
      </c>
      <c r="H183" s="7">
        <v>0.24099871039557799</v>
      </c>
      <c r="I183" s="5"/>
    </row>
    <row r="184" spans="1:9" ht="14.4">
      <c r="A184" s="3" t="s">
        <v>228</v>
      </c>
      <c r="B184" s="4" t="s">
        <v>39</v>
      </c>
      <c r="C184" s="5" t="s">
        <v>40</v>
      </c>
      <c r="D184" s="6">
        <v>44766</v>
      </c>
      <c r="E184" s="7">
        <v>2</v>
      </c>
      <c r="F184" s="7">
        <v>0.14806713315151801</v>
      </c>
      <c r="G184" s="6">
        <v>45051</v>
      </c>
      <c r="H184" s="7">
        <v>0.312315972509696</v>
      </c>
      <c r="I184" s="5"/>
    </row>
    <row r="185" spans="1:9" ht="14.4">
      <c r="A185" s="3" t="s">
        <v>229</v>
      </c>
      <c r="B185" s="4" t="s">
        <v>39</v>
      </c>
      <c r="C185" s="5" t="s">
        <v>40</v>
      </c>
      <c r="D185" s="6">
        <v>44577</v>
      </c>
      <c r="E185" s="7">
        <v>7</v>
      </c>
      <c r="F185" s="7">
        <v>7.8885651390256904E-3</v>
      </c>
      <c r="G185" s="6">
        <v>45037</v>
      </c>
      <c r="H185" s="7">
        <v>0.42001946730883299</v>
      </c>
      <c r="I185" s="5"/>
    </row>
    <row r="186" spans="1:9" ht="14.4">
      <c r="A186" s="3" t="s">
        <v>230</v>
      </c>
      <c r="B186" s="4" t="s">
        <v>73</v>
      </c>
      <c r="C186" s="5" t="s">
        <v>74</v>
      </c>
      <c r="D186" s="6">
        <v>44416</v>
      </c>
      <c r="E186" s="7">
        <v>7</v>
      </c>
      <c r="F186" s="7">
        <v>6.5026558074850402E-2</v>
      </c>
      <c r="G186" s="6">
        <v>45005</v>
      </c>
      <c r="H186" s="7">
        <v>0.566596656084567</v>
      </c>
      <c r="I186" s="5"/>
    </row>
    <row r="187" spans="1:9" ht="14.4">
      <c r="A187" s="3" t="s">
        <v>231</v>
      </c>
      <c r="B187" s="4" t="s">
        <v>15</v>
      </c>
      <c r="C187" s="5" t="s">
        <v>10</v>
      </c>
      <c r="D187" s="6">
        <v>44883</v>
      </c>
      <c r="E187" s="7">
        <v>1</v>
      </c>
      <c r="F187" s="7">
        <v>0.30777843623572698</v>
      </c>
      <c r="G187" s="6">
        <v>44963</v>
      </c>
      <c r="H187" s="7">
        <v>0.172453184843159</v>
      </c>
      <c r="I187" s="5"/>
    </row>
    <row r="188" spans="1:9" ht="14.4">
      <c r="A188" s="3" t="s">
        <v>232</v>
      </c>
      <c r="B188" s="4" t="s">
        <v>27</v>
      </c>
      <c r="C188" s="5" t="s">
        <v>28</v>
      </c>
      <c r="D188" s="6">
        <v>44214</v>
      </c>
      <c r="E188" s="7">
        <v>5</v>
      </c>
      <c r="F188" s="7">
        <v>0.1874453216227</v>
      </c>
      <c r="G188" s="6">
        <v>44961</v>
      </c>
      <c r="H188" s="7">
        <v>0.22911064366850301</v>
      </c>
      <c r="I188" s="5"/>
    </row>
    <row r="189" spans="1:9" ht="14.4">
      <c r="A189" s="3" t="s">
        <v>233</v>
      </c>
      <c r="B189" s="4" t="s">
        <v>43</v>
      </c>
      <c r="C189" s="5" t="s">
        <v>44</v>
      </c>
      <c r="D189" s="6">
        <v>44403</v>
      </c>
      <c r="E189" s="7">
        <v>6</v>
      </c>
      <c r="F189" s="7">
        <v>0.83300140406454304</v>
      </c>
      <c r="G189" s="6">
        <v>45026</v>
      </c>
      <c r="H189" s="7">
        <v>0.70242147925557197</v>
      </c>
      <c r="I189" s="5"/>
    </row>
    <row r="190" spans="1:9" ht="14.4">
      <c r="A190" s="3" t="s">
        <v>234</v>
      </c>
      <c r="B190" s="4" t="s">
        <v>34</v>
      </c>
      <c r="C190" s="5" t="s">
        <v>35</v>
      </c>
      <c r="D190" s="6">
        <v>44694</v>
      </c>
      <c r="E190" s="7">
        <v>3</v>
      </c>
      <c r="F190" s="7">
        <v>0.27727516856333601</v>
      </c>
      <c r="G190" s="6">
        <v>45036</v>
      </c>
      <c r="H190" s="7">
        <v>0.34199564672456301</v>
      </c>
      <c r="I190" s="5"/>
    </row>
    <row r="191" spans="1:9" ht="14.4">
      <c r="A191" s="3" t="s">
        <v>235</v>
      </c>
      <c r="B191" s="4" t="s">
        <v>9</v>
      </c>
      <c r="C191" s="5" t="s">
        <v>10</v>
      </c>
      <c r="D191" s="6">
        <v>44199</v>
      </c>
      <c r="E191" s="7">
        <v>2</v>
      </c>
      <c r="F191" s="7">
        <v>0.22356266053190499</v>
      </c>
      <c r="G191" s="6">
        <v>44951</v>
      </c>
      <c r="H191" s="7">
        <v>0.43217504342818902</v>
      </c>
      <c r="I191" s="5"/>
    </row>
    <row r="192" spans="1:9" ht="14.4">
      <c r="A192" s="3" t="s">
        <v>236</v>
      </c>
      <c r="B192" s="4" t="s">
        <v>46</v>
      </c>
      <c r="C192" s="5" t="s">
        <v>47</v>
      </c>
      <c r="D192" s="6">
        <v>44606</v>
      </c>
      <c r="E192" s="7">
        <v>6</v>
      </c>
      <c r="F192" s="7">
        <v>0.64447099494037297</v>
      </c>
      <c r="G192" s="6">
        <v>44975</v>
      </c>
      <c r="H192" s="7">
        <v>0.96567027076396705</v>
      </c>
      <c r="I192" s="5"/>
    </row>
    <row r="193" spans="1:9" ht="14.4">
      <c r="A193" s="3" t="s">
        <v>237</v>
      </c>
      <c r="B193" s="4" t="s">
        <v>49</v>
      </c>
      <c r="C193" s="5" t="s">
        <v>50</v>
      </c>
      <c r="D193" s="6">
        <v>44760</v>
      </c>
      <c r="E193" s="7">
        <v>6</v>
      </c>
      <c r="F193" s="7">
        <v>0.91937449423976403</v>
      </c>
      <c r="G193" s="6">
        <v>44941</v>
      </c>
      <c r="H193" s="7">
        <v>0.80855685548065803</v>
      </c>
      <c r="I193" s="5"/>
    </row>
    <row r="194" spans="1:9" ht="14.4">
      <c r="A194" s="3" t="s">
        <v>238</v>
      </c>
      <c r="B194" s="4" t="s">
        <v>71</v>
      </c>
      <c r="C194" s="5" t="s">
        <v>50</v>
      </c>
      <c r="D194" s="6">
        <v>44391</v>
      </c>
      <c r="E194" s="7">
        <v>1</v>
      </c>
      <c r="F194" s="7">
        <v>0.26377783191771698</v>
      </c>
      <c r="G194" s="6">
        <v>44943</v>
      </c>
      <c r="H194" s="7">
        <v>0.53464391868976202</v>
      </c>
      <c r="I194" s="5"/>
    </row>
    <row r="195" spans="1:9" ht="14.4">
      <c r="A195" s="3" t="s">
        <v>239</v>
      </c>
      <c r="B195" s="4" t="s">
        <v>27</v>
      </c>
      <c r="C195" s="5" t="s">
        <v>28</v>
      </c>
      <c r="D195" s="6">
        <v>44457</v>
      </c>
      <c r="E195" s="7">
        <v>3</v>
      </c>
      <c r="F195" s="7">
        <v>0.48376018648020602</v>
      </c>
      <c r="G195" s="6">
        <v>44983</v>
      </c>
      <c r="H195" s="7">
        <v>0.28976743361438201</v>
      </c>
      <c r="I195" s="5"/>
    </row>
    <row r="196" spans="1:9" ht="14.4">
      <c r="A196" s="3" t="s">
        <v>240</v>
      </c>
      <c r="B196" s="4" t="s">
        <v>58</v>
      </c>
      <c r="C196" s="5" t="s">
        <v>59</v>
      </c>
      <c r="D196" s="6">
        <v>44409</v>
      </c>
      <c r="E196" s="7">
        <v>2</v>
      </c>
      <c r="F196" s="7">
        <v>0.56649641364178105</v>
      </c>
      <c r="G196" s="6">
        <v>44948</v>
      </c>
      <c r="H196" s="7">
        <v>0.76019400248091895</v>
      </c>
      <c r="I196" s="5"/>
    </row>
    <row r="197" spans="1:9" ht="14.4">
      <c r="A197" s="3" t="s">
        <v>241</v>
      </c>
      <c r="B197" s="4" t="s">
        <v>103</v>
      </c>
      <c r="C197" s="5" t="s">
        <v>104</v>
      </c>
      <c r="D197" s="6">
        <v>44229</v>
      </c>
      <c r="E197" s="7">
        <v>10</v>
      </c>
      <c r="F197" s="7">
        <v>0.81758392927810297</v>
      </c>
      <c r="G197" s="6">
        <v>44937</v>
      </c>
      <c r="H197" s="7">
        <v>0.16419798109251399</v>
      </c>
      <c r="I197" s="5"/>
    </row>
    <row r="198" spans="1:9" ht="14.4">
      <c r="A198" s="3" t="s">
        <v>242</v>
      </c>
      <c r="B198" s="4" t="s">
        <v>46</v>
      </c>
      <c r="C198" s="5" t="s">
        <v>47</v>
      </c>
      <c r="D198" s="6">
        <v>44412</v>
      </c>
      <c r="E198" s="7">
        <v>5</v>
      </c>
      <c r="F198" s="7">
        <v>0.24147425161639699</v>
      </c>
      <c r="G198" s="6">
        <v>45005</v>
      </c>
      <c r="H198" s="7">
        <v>0.23302367858983999</v>
      </c>
      <c r="I198" s="5"/>
    </row>
    <row r="199" spans="1:9" ht="14.4">
      <c r="A199" s="3" t="s">
        <v>243</v>
      </c>
      <c r="B199" s="4" t="s">
        <v>58</v>
      </c>
      <c r="C199" s="5" t="s">
        <v>59</v>
      </c>
      <c r="D199" s="6">
        <v>44828</v>
      </c>
      <c r="E199" s="7">
        <v>6</v>
      </c>
      <c r="F199" s="7">
        <v>0.51291771398490105</v>
      </c>
      <c r="G199" s="6">
        <v>44987</v>
      </c>
      <c r="H199" s="7">
        <v>0.755021488484095</v>
      </c>
      <c r="I199" s="5"/>
    </row>
    <row r="200" spans="1:9" ht="14.4">
      <c r="A200" s="3" t="s">
        <v>244</v>
      </c>
      <c r="B200" s="4" t="s">
        <v>73</v>
      </c>
      <c r="C200" s="5" t="s">
        <v>74</v>
      </c>
      <c r="D200" s="6">
        <v>44742</v>
      </c>
      <c r="E200" s="7">
        <v>9</v>
      </c>
      <c r="F200" s="7">
        <v>0.30094368268289601</v>
      </c>
      <c r="G200" s="6">
        <v>45037</v>
      </c>
      <c r="H200" s="7">
        <v>0.55983002083455202</v>
      </c>
      <c r="I200" s="5"/>
    </row>
    <row r="201" spans="1:9" ht="14.4">
      <c r="A201" s="3" t="s">
        <v>245</v>
      </c>
      <c r="B201" s="4" t="s">
        <v>58</v>
      </c>
      <c r="C201" s="5" t="s">
        <v>59</v>
      </c>
      <c r="D201" s="6">
        <v>44502</v>
      </c>
      <c r="E201" s="7">
        <v>8</v>
      </c>
      <c r="F201" s="7">
        <v>0.91352809441905303</v>
      </c>
      <c r="G201" s="6">
        <v>44978</v>
      </c>
      <c r="H201" s="7">
        <v>0.137985792121295</v>
      </c>
      <c r="I201" s="5"/>
    </row>
    <row r="202" spans="1:9" ht="13.8">
      <c r="A202" s="3"/>
      <c r="B202" s="4"/>
      <c r="C202" s="5"/>
      <c r="D202" s="9"/>
      <c r="E202" s="5"/>
      <c r="F202" s="5"/>
      <c r="G202" s="9"/>
      <c r="H202" s="5"/>
      <c r="I202" s="5"/>
    </row>
    <row r="203" spans="1:9" ht="14.4">
      <c r="A203" s="3"/>
      <c r="B203" s="4"/>
      <c r="C203" s="5"/>
      <c r="D203" s="10" t="s">
        <v>246</v>
      </c>
      <c r="E203" s="5"/>
      <c r="F203" s="5"/>
      <c r="G203" s="11"/>
      <c r="H203" s="5"/>
      <c r="I203" s="5"/>
    </row>
    <row r="204" spans="1:9" ht="13.8">
      <c r="A204" s="3"/>
      <c r="B204" s="4"/>
      <c r="C204" s="5"/>
      <c r="D204" s="12"/>
      <c r="E204" s="5"/>
      <c r="F204" s="5"/>
      <c r="G204" s="5"/>
      <c r="H204" s="5"/>
      <c r="I204" s="5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2" r:id="rId69" xr:uid="{00000000-0004-0000-0000-000044000000}"/>
    <hyperlink ref="B73" r:id="rId70" xr:uid="{00000000-0004-0000-0000-000045000000}"/>
    <hyperlink ref="B74" r:id="rId71" xr:uid="{00000000-0004-0000-0000-000046000000}"/>
    <hyperlink ref="B75" r:id="rId72" xr:uid="{00000000-0004-0000-0000-000047000000}"/>
    <hyperlink ref="B76" r:id="rId73" xr:uid="{00000000-0004-0000-0000-000048000000}"/>
    <hyperlink ref="B77" r:id="rId74" xr:uid="{00000000-0004-0000-0000-000049000000}"/>
    <hyperlink ref="B78" r:id="rId75" xr:uid="{00000000-0004-0000-0000-00004A000000}"/>
    <hyperlink ref="B79" r:id="rId76" xr:uid="{00000000-0004-0000-0000-00004B000000}"/>
    <hyperlink ref="B80" r:id="rId77" xr:uid="{00000000-0004-0000-0000-00004C000000}"/>
    <hyperlink ref="B81" r:id="rId78" xr:uid="{00000000-0004-0000-0000-00004D000000}"/>
    <hyperlink ref="B83" r:id="rId79" xr:uid="{00000000-0004-0000-0000-00004E000000}"/>
    <hyperlink ref="B84" r:id="rId80" xr:uid="{00000000-0004-0000-0000-00004F000000}"/>
    <hyperlink ref="B85" r:id="rId81" xr:uid="{00000000-0004-0000-0000-000050000000}"/>
    <hyperlink ref="B86" r:id="rId82" xr:uid="{00000000-0004-0000-0000-000051000000}"/>
    <hyperlink ref="B87" r:id="rId83" xr:uid="{00000000-0004-0000-0000-000052000000}"/>
    <hyperlink ref="B89" r:id="rId84" xr:uid="{00000000-0004-0000-0000-000053000000}"/>
    <hyperlink ref="B90" r:id="rId85" xr:uid="{00000000-0004-0000-0000-000054000000}"/>
    <hyperlink ref="B91" r:id="rId86" xr:uid="{00000000-0004-0000-0000-000055000000}"/>
    <hyperlink ref="B92" r:id="rId87" xr:uid="{00000000-0004-0000-0000-000056000000}"/>
    <hyperlink ref="B93" r:id="rId88" xr:uid="{00000000-0004-0000-0000-000057000000}"/>
    <hyperlink ref="B94" r:id="rId89" xr:uid="{00000000-0004-0000-0000-000058000000}"/>
    <hyperlink ref="B96" r:id="rId90" xr:uid="{00000000-0004-0000-0000-000059000000}"/>
    <hyperlink ref="B97" r:id="rId91" xr:uid="{00000000-0004-0000-0000-00005A000000}"/>
    <hyperlink ref="B99" r:id="rId92" xr:uid="{00000000-0004-0000-0000-00005B000000}"/>
    <hyperlink ref="B100" r:id="rId93" xr:uid="{00000000-0004-0000-0000-00005C000000}"/>
    <hyperlink ref="B101" r:id="rId94" xr:uid="{00000000-0004-0000-0000-00005D000000}"/>
    <hyperlink ref="B103" r:id="rId95" xr:uid="{00000000-0004-0000-0000-00005E000000}"/>
    <hyperlink ref="B104" r:id="rId96" xr:uid="{00000000-0004-0000-0000-00005F000000}"/>
    <hyperlink ref="B106" r:id="rId97" xr:uid="{00000000-0004-0000-0000-000060000000}"/>
    <hyperlink ref="B107" r:id="rId98" xr:uid="{00000000-0004-0000-0000-000061000000}"/>
    <hyperlink ref="B108" r:id="rId99" xr:uid="{00000000-0004-0000-0000-000062000000}"/>
    <hyperlink ref="B109" r:id="rId100" xr:uid="{00000000-0004-0000-0000-000063000000}"/>
    <hyperlink ref="B110" r:id="rId101" xr:uid="{00000000-0004-0000-0000-000064000000}"/>
    <hyperlink ref="B111" r:id="rId102" xr:uid="{00000000-0004-0000-0000-000065000000}"/>
    <hyperlink ref="B112" r:id="rId103" xr:uid="{00000000-0004-0000-0000-000066000000}"/>
    <hyperlink ref="B113" r:id="rId104" xr:uid="{00000000-0004-0000-0000-000067000000}"/>
    <hyperlink ref="B114" r:id="rId105" xr:uid="{00000000-0004-0000-0000-000068000000}"/>
    <hyperlink ref="B115" r:id="rId106" xr:uid="{00000000-0004-0000-0000-000069000000}"/>
    <hyperlink ref="B116" r:id="rId107" xr:uid="{00000000-0004-0000-0000-00006A000000}"/>
    <hyperlink ref="B117" r:id="rId108" xr:uid="{00000000-0004-0000-0000-00006B000000}"/>
    <hyperlink ref="B119" r:id="rId109" xr:uid="{00000000-0004-0000-0000-00006C000000}"/>
    <hyperlink ref="B120" r:id="rId110" xr:uid="{00000000-0004-0000-0000-00006D000000}"/>
    <hyperlink ref="B121" r:id="rId111" xr:uid="{00000000-0004-0000-0000-00006E000000}"/>
    <hyperlink ref="B122" r:id="rId112" xr:uid="{00000000-0004-0000-0000-00006F000000}"/>
    <hyperlink ref="B123" r:id="rId113" xr:uid="{00000000-0004-0000-0000-000070000000}"/>
    <hyperlink ref="B124" r:id="rId114" xr:uid="{00000000-0004-0000-0000-000071000000}"/>
    <hyperlink ref="B125" r:id="rId115" xr:uid="{00000000-0004-0000-0000-000072000000}"/>
    <hyperlink ref="B126" r:id="rId116" xr:uid="{00000000-0004-0000-0000-000073000000}"/>
    <hyperlink ref="B128" r:id="rId117" xr:uid="{00000000-0004-0000-0000-000074000000}"/>
    <hyperlink ref="B129" r:id="rId118" xr:uid="{00000000-0004-0000-0000-000075000000}"/>
    <hyperlink ref="B131" r:id="rId119" xr:uid="{00000000-0004-0000-0000-000076000000}"/>
    <hyperlink ref="B132" r:id="rId120" xr:uid="{00000000-0004-0000-0000-000077000000}"/>
    <hyperlink ref="B133" r:id="rId121" xr:uid="{00000000-0004-0000-0000-000078000000}"/>
    <hyperlink ref="B134" r:id="rId122" xr:uid="{00000000-0004-0000-0000-000079000000}"/>
    <hyperlink ref="B135" r:id="rId123" xr:uid="{00000000-0004-0000-0000-00007A000000}"/>
    <hyperlink ref="B136" r:id="rId124" xr:uid="{00000000-0004-0000-0000-00007B000000}"/>
    <hyperlink ref="B137" r:id="rId125" xr:uid="{00000000-0004-0000-0000-00007C000000}"/>
    <hyperlink ref="B138" r:id="rId126" xr:uid="{00000000-0004-0000-0000-00007D000000}"/>
    <hyperlink ref="B139" r:id="rId127" xr:uid="{00000000-0004-0000-0000-00007E000000}"/>
    <hyperlink ref="B140" r:id="rId128" xr:uid="{00000000-0004-0000-0000-00007F000000}"/>
    <hyperlink ref="B141" r:id="rId129" xr:uid="{00000000-0004-0000-0000-000080000000}"/>
    <hyperlink ref="B142" r:id="rId130" xr:uid="{00000000-0004-0000-0000-000081000000}"/>
    <hyperlink ref="B143" r:id="rId131" xr:uid="{00000000-0004-0000-0000-000082000000}"/>
    <hyperlink ref="B144" r:id="rId132" xr:uid="{00000000-0004-0000-0000-000083000000}"/>
    <hyperlink ref="B145" r:id="rId133" xr:uid="{00000000-0004-0000-0000-000084000000}"/>
    <hyperlink ref="B146" r:id="rId134" xr:uid="{00000000-0004-0000-0000-000085000000}"/>
    <hyperlink ref="B147" r:id="rId135" xr:uid="{00000000-0004-0000-0000-000086000000}"/>
    <hyperlink ref="B148" r:id="rId136" xr:uid="{00000000-0004-0000-0000-000087000000}"/>
    <hyperlink ref="B149" r:id="rId137" xr:uid="{00000000-0004-0000-0000-000088000000}"/>
    <hyperlink ref="B150" r:id="rId138" xr:uid="{00000000-0004-0000-0000-000089000000}"/>
    <hyperlink ref="B151" r:id="rId139" xr:uid="{00000000-0004-0000-0000-00008A000000}"/>
    <hyperlink ref="B154" r:id="rId140" xr:uid="{00000000-0004-0000-0000-00008B000000}"/>
    <hyperlink ref="B155" r:id="rId141" xr:uid="{00000000-0004-0000-0000-00008C000000}"/>
    <hyperlink ref="B156" r:id="rId142" xr:uid="{00000000-0004-0000-0000-00008D000000}"/>
    <hyperlink ref="B157" r:id="rId143" xr:uid="{00000000-0004-0000-0000-00008E000000}"/>
    <hyperlink ref="B159" r:id="rId144" xr:uid="{00000000-0004-0000-0000-00008F000000}"/>
    <hyperlink ref="B160" r:id="rId145" xr:uid="{00000000-0004-0000-0000-000090000000}"/>
    <hyperlink ref="B161" r:id="rId146" xr:uid="{00000000-0004-0000-0000-000091000000}"/>
    <hyperlink ref="B162" r:id="rId147" xr:uid="{00000000-0004-0000-0000-000092000000}"/>
    <hyperlink ref="B163" r:id="rId148" xr:uid="{00000000-0004-0000-0000-000093000000}"/>
    <hyperlink ref="B164" r:id="rId149" xr:uid="{00000000-0004-0000-0000-000094000000}"/>
    <hyperlink ref="B165" r:id="rId150" xr:uid="{00000000-0004-0000-0000-000095000000}"/>
    <hyperlink ref="B166" r:id="rId151" xr:uid="{00000000-0004-0000-0000-000096000000}"/>
    <hyperlink ref="B167" r:id="rId152" xr:uid="{00000000-0004-0000-0000-000097000000}"/>
    <hyperlink ref="B168" r:id="rId153" xr:uid="{00000000-0004-0000-0000-000098000000}"/>
    <hyperlink ref="B169" r:id="rId154" xr:uid="{00000000-0004-0000-0000-000099000000}"/>
    <hyperlink ref="B171" r:id="rId155" xr:uid="{00000000-0004-0000-0000-00009A000000}"/>
    <hyperlink ref="B172" r:id="rId156" xr:uid="{00000000-0004-0000-0000-00009B000000}"/>
    <hyperlink ref="B173" r:id="rId157" xr:uid="{00000000-0004-0000-0000-00009C000000}"/>
    <hyperlink ref="B174" r:id="rId158" xr:uid="{00000000-0004-0000-0000-00009D000000}"/>
    <hyperlink ref="B175" r:id="rId159" xr:uid="{00000000-0004-0000-0000-00009E000000}"/>
    <hyperlink ref="B176" r:id="rId160" xr:uid="{00000000-0004-0000-0000-00009F000000}"/>
    <hyperlink ref="B177" r:id="rId161" xr:uid="{00000000-0004-0000-0000-0000A0000000}"/>
    <hyperlink ref="B178" r:id="rId162" xr:uid="{00000000-0004-0000-0000-0000A1000000}"/>
    <hyperlink ref="B179" r:id="rId163" xr:uid="{00000000-0004-0000-0000-0000A2000000}"/>
    <hyperlink ref="B180" r:id="rId164" xr:uid="{00000000-0004-0000-0000-0000A3000000}"/>
    <hyperlink ref="B181" r:id="rId165" xr:uid="{00000000-0004-0000-0000-0000A4000000}"/>
    <hyperlink ref="B182" r:id="rId166" xr:uid="{00000000-0004-0000-0000-0000A5000000}"/>
    <hyperlink ref="B183" r:id="rId167" xr:uid="{00000000-0004-0000-0000-0000A6000000}"/>
    <hyperlink ref="B184" r:id="rId168" xr:uid="{00000000-0004-0000-0000-0000A7000000}"/>
    <hyperlink ref="B185" r:id="rId169" xr:uid="{00000000-0004-0000-0000-0000A8000000}"/>
    <hyperlink ref="B186" r:id="rId170" xr:uid="{00000000-0004-0000-0000-0000A9000000}"/>
    <hyperlink ref="B187" r:id="rId171" xr:uid="{00000000-0004-0000-0000-0000AA000000}"/>
    <hyperlink ref="B188" r:id="rId172" xr:uid="{00000000-0004-0000-0000-0000AB000000}"/>
    <hyperlink ref="B189" r:id="rId173" xr:uid="{00000000-0004-0000-0000-0000AC000000}"/>
    <hyperlink ref="B190" r:id="rId174" xr:uid="{00000000-0004-0000-0000-0000AD000000}"/>
    <hyperlink ref="B191" r:id="rId175" xr:uid="{00000000-0004-0000-0000-0000AE000000}"/>
    <hyperlink ref="B192" r:id="rId176" xr:uid="{00000000-0004-0000-0000-0000AF000000}"/>
    <hyperlink ref="B193" r:id="rId177" xr:uid="{00000000-0004-0000-0000-0000B0000000}"/>
    <hyperlink ref="B194" r:id="rId178" xr:uid="{00000000-0004-0000-0000-0000B1000000}"/>
    <hyperlink ref="B195" r:id="rId179" xr:uid="{00000000-0004-0000-0000-0000B2000000}"/>
    <hyperlink ref="B196" r:id="rId180" xr:uid="{00000000-0004-0000-0000-0000B3000000}"/>
    <hyperlink ref="B198" r:id="rId181" xr:uid="{00000000-0004-0000-0000-0000B4000000}"/>
    <hyperlink ref="B199" r:id="rId182" xr:uid="{00000000-0004-0000-0000-0000B5000000}"/>
    <hyperlink ref="B200" r:id="rId183" xr:uid="{00000000-0004-0000-0000-0000B6000000}"/>
    <hyperlink ref="B201" r:id="rId184" xr:uid="{00000000-0004-0000-0000-0000B7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21E7-6128-4D1E-8C3F-CA4DCEF5F1A5}">
  <sheetPr>
    <outlinePr summaryBelow="0" summaryRight="0"/>
  </sheetPr>
  <dimension ref="A1:I204"/>
  <sheetViews>
    <sheetView workbookViewId="0">
      <pane ySplit="1" topLeftCell="A2" activePane="bottomLeft" state="frozen"/>
      <selection pane="bottomLeft"/>
    </sheetView>
  </sheetViews>
  <sheetFormatPr defaultColWidth="12.5546875" defaultRowHeight="15.75" customHeight="1"/>
  <cols>
    <col min="1" max="1" width="12.5546875" style="15"/>
    <col min="2" max="2" width="33.88671875" style="15" customWidth="1"/>
    <col min="3" max="3" width="12.5546875" style="15"/>
    <col min="4" max="4" width="13.5546875" style="15" bestFit="1" customWidth="1"/>
    <col min="5" max="5" width="12.5546875" style="15"/>
    <col min="6" max="6" width="13.6640625" style="15" customWidth="1"/>
    <col min="7" max="16384" width="12.5546875" style="15"/>
  </cols>
  <sheetData>
    <row r="1" spans="1:9" ht="20.399999999999999" thickBo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/>
    </row>
    <row r="2" spans="1:9" ht="14.4">
      <c r="A2" s="16" t="s">
        <v>8</v>
      </c>
      <c r="B2" s="17" t="s">
        <v>9</v>
      </c>
      <c r="C2" s="18" t="s">
        <v>10</v>
      </c>
      <c r="D2" s="32">
        <v>44841</v>
      </c>
      <c r="E2" s="19">
        <v>7</v>
      </c>
      <c r="F2" s="19">
        <v>0.28318547112501802</v>
      </c>
      <c r="G2" s="32">
        <v>45092</v>
      </c>
      <c r="H2" s="19">
        <v>0.557129814707503</v>
      </c>
      <c r="I2" s="20"/>
    </row>
    <row r="3" spans="1:9" ht="14.4">
      <c r="A3" s="21" t="s">
        <v>11</v>
      </c>
      <c r="B3" s="22" t="s">
        <v>12</v>
      </c>
      <c r="C3" s="23" t="s">
        <v>13</v>
      </c>
      <c r="D3" s="33">
        <v>44200</v>
      </c>
      <c r="E3" s="24">
        <v>2</v>
      </c>
      <c r="F3" s="24">
        <v>0.64142747007026002</v>
      </c>
      <c r="G3" s="33">
        <v>45039</v>
      </c>
      <c r="H3" s="24">
        <v>0.88983597888511301</v>
      </c>
      <c r="I3" s="20"/>
    </row>
    <row r="4" spans="1:9" ht="14.4">
      <c r="A4" s="21" t="s">
        <v>14</v>
      </c>
      <c r="B4" s="22" t="s">
        <v>15</v>
      </c>
      <c r="C4" s="23" t="s">
        <v>10</v>
      </c>
      <c r="D4" s="33">
        <v>44519</v>
      </c>
      <c r="E4" s="24">
        <v>6</v>
      </c>
      <c r="F4" s="24">
        <v>0.98092817996517101</v>
      </c>
      <c r="G4" s="33">
        <v>44968</v>
      </c>
      <c r="H4" s="24">
        <v>0.72256312699759195</v>
      </c>
      <c r="I4" s="20"/>
    </row>
    <row r="5" spans="1:9" ht="14.4">
      <c r="A5" s="21" t="s">
        <v>16</v>
      </c>
      <c r="B5" s="22" t="s">
        <v>17</v>
      </c>
      <c r="C5" s="23" t="s">
        <v>18</v>
      </c>
      <c r="D5" s="33">
        <v>44664</v>
      </c>
      <c r="E5" s="24">
        <v>1</v>
      </c>
      <c r="F5" s="24">
        <v>0.46027529609517198</v>
      </c>
      <c r="G5" s="33">
        <v>44971</v>
      </c>
      <c r="H5" s="24">
        <v>0.82793169583258497</v>
      </c>
      <c r="I5" s="20"/>
    </row>
    <row r="6" spans="1:9" ht="14.4">
      <c r="A6" s="21" t="s">
        <v>19</v>
      </c>
      <c r="B6" s="22" t="s">
        <v>9</v>
      </c>
      <c r="C6" s="23" t="s">
        <v>10</v>
      </c>
      <c r="D6" s="33">
        <v>44351</v>
      </c>
      <c r="E6" s="24">
        <v>9</v>
      </c>
      <c r="F6" s="24">
        <v>0.55179844990216698</v>
      </c>
      <c r="G6" s="33">
        <v>44977</v>
      </c>
      <c r="H6" s="24">
        <v>0.19789786446941801</v>
      </c>
      <c r="I6" s="20"/>
    </row>
    <row r="7" spans="1:9" ht="14.4">
      <c r="A7" s="21" t="s">
        <v>20</v>
      </c>
      <c r="B7" s="22" t="s">
        <v>21</v>
      </c>
      <c r="C7" s="23" t="s">
        <v>22</v>
      </c>
      <c r="D7" s="33">
        <v>44529</v>
      </c>
      <c r="E7" s="24">
        <v>1</v>
      </c>
      <c r="F7" s="24">
        <v>0.30386848867018701</v>
      </c>
      <c r="G7" s="33">
        <v>44969</v>
      </c>
      <c r="H7" s="24">
        <v>0.97814412656590199</v>
      </c>
      <c r="I7" s="20"/>
    </row>
    <row r="8" spans="1:9" ht="14.4">
      <c r="A8" s="21" t="s">
        <v>23</v>
      </c>
      <c r="B8" s="22" t="s">
        <v>24</v>
      </c>
      <c r="C8" s="23" t="s">
        <v>25</v>
      </c>
      <c r="D8" s="33">
        <v>44500</v>
      </c>
      <c r="E8" s="24">
        <v>3</v>
      </c>
      <c r="F8" s="24">
        <v>0.100945559071712</v>
      </c>
      <c r="G8" s="33">
        <v>44930</v>
      </c>
      <c r="H8" s="24">
        <v>0.407405377776074</v>
      </c>
      <c r="I8" s="20"/>
    </row>
    <row r="9" spans="1:9" ht="14.4">
      <c r="A9" s="21" t="s">
        <v>26</v>
      </c>
      <c r="B9" s="22" t="s">
        <v>27</v>
      </c>
      <c r="C9" s="23" t="s">
        <v>28</v>
      </c>
      <c r="D9" s="33">
        <v>44584</v>
      </c>
      <c r="E9" s="24">
        <v>4</v>
      </c>
      <c r="F9" s="24">
        <v>0.13652069785058399</v>
      </c>
      <c r="G9" s="33">
        <v>44991</v>
      </c>
      <c r="H9" s="24">
        <v>0.38969057106772598</v>
      </c>
      <c r="I9" s="20"/>
    </row>
    <row r="10" spans="1:9" ht="14.4">
      <c r="A10" s="21" t="s">
        <v>29</v>
      </c>
      <c r="B10" s="22" t="s">
        <v>30</v>
      </c>
      <c r="C10" s="23" t="s">
        <v>31</v>
      </c>
      <c r="D10" s="33">
        <v>44472</v>
      </c>
      <c r="E10" s="24">
        <v>10</v>
      </c>
      <c r="F10" s="24">
        <v>0.41670439236003598</v>
      </c>
      <c r="G10" s="33">
        <v>45045</v>
      </c>
      <c r="H10" s="24">
        <v>0.54934508287877304</v>
      </c>
      <c r="I10" s="20"/>
    </row>
    <row r="11" spans="1:9" ht="14.4">
      <c r="A11" s="21" t="s">
        <v>32</v>
      </c>
      <c r="B11" s="22" t="s">
        <v>21</v>
      </c>
      <c r="C11" s="23" t="s">
        <v>22</v>
      </c>
      <c r="D11" s="33">
        <v>44587</v>
      </c>
      <c r="E11" s="24">
        <v>6</v>
      </c>
      <c r="F11" s="24">
        <v>0.24316986891245501</v>
      </c>
      <c r="G11" s="33">
        <v>44987</v>
      </c>
      <c r="H11" s="24">
        <v>0.420232824731951</v>
      </c>
      <c r="I11" s="20"/>
    </row>
    <row r="12" spans="1:9" ht="14.4">
      <c r="A12" s="21" t="s">
        <v>33</v>
      </c>
      <c r="B12" s="22" t="s">
        <v>34</v>
      </c>
      <c r="C12" s="23" t="s">
        <v>35</v>
      </c>
      <c r="D12" s="33">
        <v>44407</v>
      </c>
      <c r="E12" s="24">
        <v>5</v>
      </c>
      <c r="F12" s="24">
        <v>0.80079383386161695</v>
      </c>
      <c r="G12" s="33">
        <v>44996</v>
      </c>
      <c r="H12" s="24">
        <v>0.89666229529100405</v>
      </c>
      <c r="I12" s="20"/>
    </row>
    <row r="13" spans="1:9" ht="14.4">
      <c r="A13" s="21" t="s">
        <v>36</v>
      </c>
      <c r="B13" s="22" t="s">
        <v>9</v>
      </c>
      <c r="C13" s="23" t="s">
        <v>10</v>
      </c>
      <c r="D13" s="33">
        <v>44543</v>
      </c>
      <c r="E13" s="24">
        <v>10</v>
      </c>
      <c r="F13" s="24">
        <v>0.638981266676107</v>
      </c>
      <c r="G13" s="33">
        <v>45031</v>
      </c>
      <c r="H13" s="24">
        <v>0.77496721699985804</v>
      </c>
      <c r="I13" s="20"/>
    </row>
    <row r="14" spans="1:9" ht="14.4">
      <c r="A14" s="21" t="s">
        <v>37</v>
      </c>
      <c r="B14" s="22" t="s">
        <v>9</v>
      </c>
      <c r="C14" s="23" t="s">
        <v>10</v>
      </c>
      <c r="D14" s="33">
        <v>44925</v>
      </c>
      <c r="E14" s="24">
        <v>8</v>
      </c>
      <c r="F14" s="24">
        <v>0.34625418958602699</v>
      </c>
      <c r="G14" s="33">
        <v>45034</v>
      </c>
      <c r="H14" s="24">
        <v>0.71065052633396197</v>
      </c>
      <c r="I14" s="20"/>
    </row>
    <row r="15" spans="1:9" ht="14.4">
      <c r="A15" s="21" t="s">
        <v>38</v>
      </c>
      <c r="B15" s="22" t="s">
        <v>39</v>
      </c>
      <c r="C15" s="23" t="s">
        <v>40</v>
      </c>
      <c r="D15" s="33">
        <v>44355</v>
      </c>
      <c r="E15" s="24">
        <v>6</v>
      </c>
      <c r="F15" s="24">
        <v>0.36584758654187899</v>
      </c>
      <c r="G15" s="33">
        <v>45023</v>
      </c>
      <c r="H15" s="24">
        <v>0.45311698845143</v>
      </c>
      <c r="I15" s="20"/>
    </row>
    <row r="16" spans="1:9" ht="14.4">
      <c r="A16" s="21" t="s">
        <v>41</v>
      </c>
      <c r="B16" s="22" t="s">
        <v>27</v>
      </c>
      <c r="C16" s="23" t="s">
        <v>28</v>
      </c>
      <c r="D16" s="33">
        <v>44710</v>
      </c>
      <c r="E16" s="24">
        <v>6</v>
      </c>
      <c r="F16" s="24">
        <v>0.379060395757914</v>
      </c>
      <c r="G16" s="33">
        <v>44977</v>
      </c>
      <c r="H16" s="24">
        <v>0.31616207722275602</v>
      </c>
      <c r="I16" s="20"/>
    </row>
    <row r="17" spans="1:9" ht="14.4">
      <c r="A17" s="21" t="s">
        <v>42</v>
      </c>
      <c r="B17" s="22" t="s">
        <v>43</v>
      </c>
      <c r="C17" s="23" t="s">
        <v>44</v>
      </c>
      <c r="D17" s="33">
        <v>44922</v>
      </c>
      <c r="E17" s="24">
        <v>8</v>
      </c>
      <c r="F17" s="24">
        <v>0.72895214290311094</v>
      </c>
      <c r="G17" s="33">
        <v>45000</v>
      </c>
      <c r="H17" s="24">
        <v>0.22418004410534101</v>
      </c>
      <c r="I17" s="20"/>
    </row>
    <row r="18" spans="1:9" ht="14.4">
      <c r="A18" s="21" t="s">
        <v>45</v>
      </c>
      <c r="B18" s="22" t="s">
        <v>46</v>
      </c>
      <c r="C18" s="23" t="s">
        <v>47</v>
      </c>
      <c r="D18" s="33">
        <v>44294</v>
      </c>
      <c r="E18" s="24">
        <v>5</v>
      </c>
      <c r="F18" s="24">
        <v>0.42202075102150899</v>
      </c>
      <c r="G18" s="33">
        <v>45056</v>
      </c>
      <c r="H18" s="24">
        <v>0.38793156543941099</v>
      </c>
      <c r="I18" s="20"/>
    </row>
    <row r="19" spans="1:9" ht="14.4">
      <c r="A19" s="21" t="s">
        <v>48</v>
      </c>
      <c r="B19" s="22" t="s">
        <v>49</v>
      </c>
      <c r="C19" s="23" t="s">
        <v>50</v>
      </c>
      <c r="D19" s="33">
        <v>44341</v>
      </c>
      <c r="E19" s="24">
        <v>4</v>
      </c>
      <c r="F19" s="24">
        <v>0.221183884694959</v>
      </c>
      <c r="G19" s="33">
        <v>44964</v>
      </c>
      <c r="H19" s="24">
        <v>0.33188863151931702</v>
      </c>
      <c r="I19" s="20"/>
    </row>
    <row r="20" spans="1:9" ht="14.4">
      <c r="A20" s="21" t="s">
        <v>51</v>
      </c>
      <c r="B20" s="22" t="s">
        <v>15</v>
      </c>
      <c r="C20" s="23" t="s">
        <v>10</v>
      </c>
      <c r="D20" s="33">
        <v>44205</v>
      </c>
      <c r="E20" s="24">
        <v>1</v>
      </c>
      <c r="F20" s="24">
        <v>0.33608049957319502</v>
      </c>
      <c r="G20" s="33">
        <v>45067</v>
      </c>
      <c r="H20" s="24">
        <v>0.632173644236244</v>
      </c>
      <c r="I20" s="20"/>
    </row>
    <row r="21" spans="1:9" ht="14.4">
      <c r="A21" s="21" t="s">
        <v>52</v>
      </c>
      <c r="B21" s="22" t="s">
        <v>43</v>
      </c>
      <c r="C21" s="23" t="s">
        <v>44</v>
      </c>
      <c r="D21" s="33">
        <v>44385</v>
      </c>
      <c r="E21" s="24">
        <v>1</v>
      </c>
      <c r="F21" s="24">
        <v>0.66879924137456503</v>
      </c>
      <c r="G21" s="33">
        <v>45019</v>
      </c>
      <c r="H21" s="24">
        <v>0.97050369055421803</v>
      </c>
      <c r="I21" s="20"/>
    </row>
    <row r="22" spans="1:9" ht="14.4">
      <c r="A22" s="21" t="s">
        <v>53</v>
      </c>
      <c r="B22" s="22" t="s">
        <v>54</v>
      </c>
      <c r="C22" s="23" t="s">
        <v>55</v>
      </c>
      <c r="D22" s="33">
        <v>44418</v>
      </c>
      <c r="E22" s="24">
        <v>1</v>
      </c>
      <c r="F22" s="24">
        <v>0.94855371414201095</v>
      </c>
      <c r="G22" s="33">
        <v>44964</v>
      </c>
      <c r="H22" s="24">
        <v>0.335795433783181</v>
      </c>
      <c r="I22" s="20"/>
    </row>
    <row r="23" spans="1:9" ht="14.4">
      <c r="A23" s="21" t="s">
        <v>56</v>
      </c>
      <c r="B23" s="22" t="s">
        <v>9</v>
      </c>
      <c r="C23" s="23" t="s">
        <v>10</v>
      </c>
      <c r="D23" s="33">
        <v>44303</v>
      </c>
      <c r="E23" s="24">
        <v>9</v>
      </c>
      <c r="F23" s="24">
        <v>0.84008770787604403</v>
      </c>
      <c r="G23" s="33">
        <v>45011</v>
      </c>
      <c r="H23" s="24">
        <v>0.55247139186324401</v>
      </c>
      <c r="I23" s="20"/>
    </row>
    <row r="24" spans="1:9" ht="14.4">
      <c r="A24" s="21" t="s">
        <v>57</v>
      </c>
      <c r="B24" s="22" t="s">
        <v>58</v>
      </c>
      <c r="C24" s="23" t="s">
        <v>59</v>
      </c>
      <c r="D24" s="33">
        <v>44469</v>
      </c>
      <c r="E24" s="24">
        <v>2</v>
      </c>
      <c r="F24" s="24">
        <v>2.2027610408179498E-3</v>
      </c>
      <c r="G24" s="33">
        <v>45016</v>
      </c>
      <c r="H24" s="24">
        <v>0.38274839978632802</v>
      </c>
      <c r="I24" s="20"/>
    </row>
    <row r="25" spans="1:9" ht="14.4">
      <c r="A25" s="21" t="s">
        <v>60</v>
      </c>
      <c r="B25" s="22" t="s">
        <v>61</v>
      </c>
      <c r="C25" s="23" t="s">
        <v>62</v>
      </c>
      <c r="D25" s="33">
        <v>44786</v>
      </c>
      <c r="E25" s="24">
        <v>3</v>
      </c>
      <c r="F25" s="24">
        <v>0.70520735936114698</v>
      </c>
      <c r="G25" s="33">
        <v>45023</v>
      </c>
      <c r="H25" s="24">
        <v>0.85427426099032899</v>
      </c>
      <c r="I25" s="20"/>
    </row>
    <row r="26" spans="1:9" ht="14.4">
      <c r="A26" s="21" t="s">
        <v>63</v>
      </c>
      <c r="B26" s="22" t="s">
        <v>30</v>
      </c>
      <c r="C26" s="23" t="s">
        <v>31</v>
      </c>
      <c r="D26" s="33">
        <v>44882</v>
      </c>
      <c r="E26" s="24">
        <v>2</v>
      </c>
      <c r="F26" s="24">
        <v>0.83894286337563995</v>
      </c>
      <c r="G26" s="33">
        <v>44933</v>
      </c>
      <c r="H26" s="24">
        <v>0.67630232908539301</v>
      </c>
      <c r="I26" s="20"/>
    </row>
    <row r="27" spans="1:9" ht="14.4">
      <c r="A27" s="21" t="s">
        <v>64</v>
      </c>
      <c r="B27" s="22" t="s">
        <v>58</v>
      </c>
      <c r="C27" s="23" t="s">
        <v>59</v>
      </c>
      <c r="D27" s="33">
        <v>44725</v>
      </c>
      <c r="E27" s="24">
        <v>8</v>
      </c>
      <c r="F27" s="24">
        <v>0.87889715359181098</v>
      </c>
      <c r="G27" s="33">
        <v>44932</v>
      </c>
      <c r="H27" s="24">
        <v>0.20020556920871699</v>
      </c>
      <c r="I27" s="20"/>
    </row>
    <row r="28" spans="1:9" ht="14.4">
      <c r="A28" s="21" t="s">
        <v>65</v>
      </c>
      <c r="B28" s="22" t="s">
        <v>24</v>
      </c>
      <c r="C28" s="23" t="s">
        <v>25</v>
      </c>
      <c r="D28" s="33">
        <v>44599</v>
      </c>
      <c r="E28" s="24">
        <v>7</v>
      </c>
      <c r="F28" s="24">
        <v>0.81200798012546904</v>
      </c>
      <c r="G28" s="33">
        <v>45064</v>
      </c>
      <c r="H28" s="24">
        <v>0.26150647842758601</v>
      </c>
      <c r="I28" s="20"/>
    </row>
    <row r="29" spans="1:9" ht="14.4">
      <c r="A29" s="21" t="s">
        <v>66</v>
      </c>
      <c r="B29" s="22" t="s">
        <v>9</v>
      </c>
      <c r="C29" s="23" t="s">
        <v>10</v>
      </c>
      <c r="D29" s="33">
        <v>44492</v>
      </c>
      <c r="E29" s="24">
        <v>1</v>
      </c>
      <c r="F29" s="24">
        <v>0.27554760755730201</v>
      </c>
      <c r="G29" s="33">
        <v>45049</v>
      </c>
      <c r="H29" s="24">
        <v>0.19858809226913399</v>
      </c>
      <c r="I29" s="20"/>
    </row>
    <row r="30" spans="1:9" ht="14.4">
      <c r="A30" s="21" t="s">
        <v>67</v>
      </c>
      <c r="B30" s="22" t="s">
        <v>9</v>
      </c>
      <c r="C30" s="23" t="s">
        <v>10</v>
      </c>
      <c r="D30" s="33">
        <v>44523</v>
      </c>
      <c r="E30" s="24">
        <v>3</v>
      </c>
      <c r="F30" s="24">
        <v>0.15183590676997499</v>
      </c>
      <c r="G30" s="33">
        <v>45036</v>
      </c>
      <c r="H30" s="24">
        <v>0.96263635120934099</v>
      </c>
      <c r="I30" s="20"/>
    </row>
    <row r="31" spans="1:9" ht="14.4">
      <c r="A31" s="21" t="s">
        <v>68</v>
      </c>
      <c r="B31" s="22" t="s">
        <v>34</v>
      </c>
      <c r="C31" s="23" t="s">
        <v>35</v>
      </c>
      <c r="D31" s="33">
        <v>44281</v>
      </c>
      <c r="E31" s="24">
        <v>1</v>
      </c>
      <c r="F31" s="24">
        <v>0.31751651418006399</v>
      </c>
      <c r="G31" s="33">
        <v>44967</v>
      </c>
      <c r="H31" s="24">
        <v>0.47080505116614901</v>
      </c>
      <c r="I31" s="20"/>
    </row>
    <row r="32" spans="1:9" ht="14.4">
      <c r="A32" s="21" t="s">
        <v>69</v>
      </c>
      <c r="B32" s="22" t="s">
        <v>54</v>
      </c>
      <c r="C32" s="23" t="s">
        <v>55</v>
      </c>
      <c r="D32" s="33">
        <v>44594</v>
      </c>
      <c r="E32" s="24">
        <v>7</v>
      </c>
      <c r="F32" s="24">
        <v>8.2508842921547004E-2</v>
      </c>
      <c r="G32" s="33">
        <v>44981</v>
      </c>
      <c r="H32" s="24">
        <v>0.90723039307728803</v>
      </c>
      <c r="I32" s="20"/>
    </row>
    <row r="33" spans="1:9" ht="14.4">
      <c r="A33" s="21" t="s">
        <v>70</v>
      </c>
      <c r="B33" s="22" t="s">
        <v>71</v>
      </c>
      <c r="C33" s="23" t="s">
        <v>50</v>
      </c>
      <c r="D33" s="33">
        <v>44239</v>
      </c>
      <c r="E33" s="24">
        <v>9</v>
      </c>
      <c r="F33" s="24">
        <v>3.8415611438702597E-2</v>
      </c>
      <c r="G33" s="33">
        <v>45034</v>
      </c>
      <c r="H33" s="24">
        <v>0.69214535069910299</v>
      </c>
      <c r="I33" s="20"/>
    </row>
    <row r="34" spans="1:9" ht="14.4">
      <c r="A34" s="21" t="s">
        <v>72</v>
      </c>
      <c r="B34" s="22" t="s">
        <v>73</v>
      </c>
      <c r="C34" s="23" t="s">
        <v>74</v>
      </c>
      <c r="D34" s="33">
        <v>44541</v>
      </c>
      <c r="E34" s="24">
        <v>9</v>
      </c>
      <c r="F34" s="24">
        <v>0.215773738787989</v>
      </c>
      <c r="G34" s="33">
        <v>45040</v>
      </c>
      <c r="H34" s="24">
        <v>0.54884364241615202</v>
      </c>
      <c r="I34" s="20"/>
    </row>
    <row r="35" spans="1:9" ht="14.4">
      <c r="A35" s="21" t="s">
        <v>75</v>
      </c>
      <c r="B35" s="22" t="s">
        <v>34</v>
      </c>
      <c r="C35" s="23" t="s">
        <v>35</v>
      </c>
      <c r="D35" s="33">
        <v>44446</v>
      </c>
      <c r="E35" s="24">
        <v>5</v>
      </c>
      <c r="F35" s="24">
        <v>0.72585135876436702</v>
      </c>
      <c r="G35" s="33">
        <v>45053</v>
      </c>
      <c r="H35" s="24">
        <v>0.173994592694031</v>
      </c>
      <c r="I35" s="20"/>
    </row>
    <row r="36" spans="1:9" ht="14.4">
      <c r="A36" s="21" t="s">
        <v>76</v>
      </c>
      <c r="B36" s="22" t="s">
        <v>17</v>
      </c>
      <c r="C36" s="23" t="s">
        <v>18</v>
      </c>
      <c r="D36" s="33">
        <v>44554</v>
      </c>
      <c r="E36" s="24">
        <v>8</v>
      </c>
      <c r="F36" s="24">
        <v>0.68255570090641804</v>
      </c>
      <c r="G36" s="33">
        <v>44988</v>
      </c>
      <c r="H36" s="24">
        <v>0.60454082217188998</v>
      </c>
      <c r="I36" s="20"/>
    </row>
    <row r="37" spans="1:9" ht="14.4">
      <c r="A37" s="21" t="s">
        <v>77</v>
      </c>
      <c r="B37" s="22" t="s">
        <v>21</v>
      </c>
      <c r="C37" s="23" t="s">
        <v>22</v>
      </c>
      <c r="D37" s="33">
        <v>44198</v>
      </c>
      <c r="E37" s="24">
        <v>3</v>
      </c>
      <c r="F37" s="24">
        <v>0.80123839065137303</v>
      </c>
      <c r="G37" s="33">
        <v>45049</v>
      </c>
      <c r="H37" s="24">
        <v>0.30527628395158701</v>
      </c>
      <c r="I37" s="20"/>
    </row>
    <row r="38" spans="1:9" ht="14.4">
      <c r="A38" s="21" t="s">
        <v>78</v>
      </c>
      <c r="B38" s="22" t="s">
        <v>73</v>
      </c>
      <c r="C38" s="23" t="s">
        <v>74</v>
      </c>
      <c r="D38" s="33">
        <v>44838</v>
      </c>
      <c r="E38" s="24">
        <v>4</v>
      </c>
      <c r="F38" s="24">
        <v>0.86036052556079601</v>
      </c>
      <c r="G38" s="33">
        <v>44968</v>
      </c>
      <c r="H38" s="24">
        <v>0.75556235613803402</v>
      </c>
      <c r="I38" s="20"/>
    </row>
    <row r="39" spans="1:9" ht="14.4">
      <c r="A39" s="21" t="s">
        <v>79</v>
      </c>
      <c r="B39" s="22" t="s">
        <v>34</v>
      </c>
      <c r="C39" s="23" t="s">
        <v>35</v>
      </c>
      <c r="D39" s="33">
        <v>44503</v>
      </c>
      <c r="E39" s="24">
        <v>3</v>
      </c>
      <c r="F39" s="24">
        <v>0.89411437906362101</v>
      </c>
      <c r="G39" s="33">
        <v>44951</v>
      </c>
      <c r="H39" s="24">
        <v>0.15236785201696099</v>
      </c>
      <c r="I39" s="20"/>
    </row>
    <row r="40" spans="1:9" ht="14.4">
      <c r="A40" s="21" t="s">
        <v>80</v>
      </c>
      <c r="B40" s="22" t="s">
        <v>81</v>
      </c>
      <c r="C40" s="23" t="s">
        <v>62</v>
      </c>
      <c r="D40" s="33">
        <v>44579</v>
      </c>
      <c r="E40" s="24">
        <v>10</v>
      </c>
      <c r="F40" s="24">
        <v>0.93792316902615502</v>
      </c>
      <c r="G40" s="33">
        <v>45061</v>
      </c>
      <c r="H40" s="24">
        <v>0.45551581516099299</v>
      </c>
      <c r="I40" s="20"/>
    </row>
    <row r="41" spans="1:9" ht="14.4">
      <c r="A41" s="21" t="s">
        <v>82</v>
      </c>
      <c r="B41" s="22" t="s">
        <v>12</v>
      </c>
      <c r="C41" s="23" t="s">
        <v>13</v>
      </c>
      <c r="D41" s="33">
        <v>44898</v>
      </c>
      <c r="E41" s="24">
        <v>4</v>
      </c>
      <c r="F41" s="24">
        <v>0.70777097045034598</v>
      </c>
      <c r="G41" s="33">
        <v>44969</v>
      </c>
      <c r="H41" s="24">
        <v>0.29010240599643</v>
      </c>
      <c r="I41" s="20"/>
    </row>
    <row r="42" spans="1:9" ht="14.4">
      <c r="A42" s="21" t="s">
        <v>83</v>
      </c>
      <c r="B42" s="22" t="s">
        <v>81</v>
      </c>
      <c r="C42" s="23" t="s">
        <v>62</v>
      </c>
      <c r="D42" s="33">
        <v>44315</v>
      </c>
      <c r="E42" s="24">
        <v>10</v>
      </c>
      <c r="F42" s="24">
        <v>0.32809052787687998</v>
      </c>
      <c r="G42" s="33">
        <v>45058</v>
      </c>
      <c r="H42" s="24">
        <v>0.53620178529362506</v>
      </c>
      <c r="I42" s="20"/>
    </row>
    <row r="43" spans="1:9" ht="14.4">
      <c r="A43" s="21" t="s">
        <v>84</v>
      </c>
      <c r="B43" s="22" t="s">
        <v>12</v>
      </c>
      <c r="C43" s="23" t="s">
        <v>13</v>
      </c>
      <c r="D43" s="33">
        <v>44921</v>
      </c>
      <c r="E43" s="24">
        <v>10</v>
      </c>
      <c r="F43" s="24">
        <v>0.20148931810460499</v>
      </c>
      <c r="G43" s="33">
        <v>45027</v>
      </c>
      <c r="H43" s="24">
        <v>0.37346939187061601</v>
      </c>
      <c r="I43" s="20"/>
    </row>
    <row r="44" spans="1:9" ht="14.4">
      <c r="A44" s="21" t="s">
        <v>85</v>
      </c>
      <c r="B44" s="22" t="s">
        <v>43</v>
      </c>
      <c r="C44" s="23" t="s">
        <v>44</v>
      </c>
      <c r="D44" s="33">
        <v>44708</v>
      </c>
      <c r="E44" s="24">
        <v>6</v>
      </c>
      <c r="F44" s="24">
        <v>3.5993791246495099E-2</v>
      </c>
      <c r="G44" s="33">
        <v>44985</v>
      </c>
      <c r="H44" s="24">
        <v>0.97861539568179701</v>
      </c>
      <c r="I44" s="20"/>
    </row>
    <row r="45" spans="1:9" ht="14.4">
      <c r="A45" s="21" t="s">
        <v>86</v>
      </c>
      <c r="B45" s="22" t="s">
        <v>9</v>
      </c>
      <c r="C45" s="23" t="s">
        <v>10</v>
      </c>
      <c r="D45" s="33">
        <v>44795</v>
      </c>
      <c r="E45" s="24">
        <v>1</v>
      </c>
      <c r="F45" s="24">
        <v>0.71704537744139196</v>
      </c>
      <c r="G45" s="33">
        <v>45022</v>
      </c>
      <c r="H45" s="24">
        <v>0.16233553287650401</v>
      </c>
      <c r="I45" s="20"/>
    </row>
    <row r="46" spans="1:9" ht="14.4">
      <c r="A46" s="21" t="s">
        <v>87</v>
      </c>
      <c r="B46" s="22" t="s">
        <v>49</v>
      </c>
      <c r="C46" s="23" t="s">
        <v>50</v>
      </c>
      <c r="D46" s="33">
        <v>44338</v>
      </c>
      <c r="E46" s="24">
        <v>9</v>
      </c>
      <c r="F46" s="24">
        <v>0.71155870482197403</v>
      </c>
      <c r="G46" s="33">
        <v>45045</v>
      </c>
      <c r="H46" s="24">
        <v>0.15390650537949099</v>
      </c>
      <c r="I46" s="20"/>
    </row>
    <row r="47" spans="1:9" ht="14.4">
      <c r="A47" s="21" t="s">
        <v>88</v>
      </c>
      <c r="B47" s="22" t="s">
        <v>34</v>
      </c>
      <c r="C47" s="23" t="s">
        <v>35</v>
      </c>
      <c r="D47" s="33">
        <v>44274</v>
      </c>
      <c r="E47" s="24">
        <v>6</v>
      </c>
      <c r="F47" s="24">
        <v>6.4033223650055093E-2</v>
      </c>
      <c r="G47" s="33">
        <v>45004</v>
      </c>
      <c r="H47" s="24">
        <v>4.2104998611888203E-3</v>
      </c>
      <c r="I47" s="20"/>
    </row>
    <row r="48" spans="1:9" ht="14.4">
      <c r="A48" s="21" t="s">
        <v>89</v>
      </c>
      <c r="B48" s="22" t="s">
        <v>46</v>
      </c>
      <c r="C48" s="23" t="s">
        <v>47</v>
      </c>
      <c r="D48" s="33">
        <v>44725</v>
      </c>
      <c r="E48" s="24">
        <v>7</v>
      </c>
      <c r="F48" s="24">
        <v>0.97988976578176401</v>
      </c>
      <c r="G48" s="33">
        <v>45051</v>
      </c>
      <c r="H48" s="24">
        <v>4.3763329833777703E-2</v>
      </c>
      <c r="I48" s="20"/>
    </row>
    <row r="49" spans="1:9" ht="14.4">
      <c r="A49" s="21" t="s">
        <v>90</v>
      </c>
      <c r="B49" s="22" t="s">
        <v>30</v>
      </c>
      <c r="C49" s="23" t="s">
        <v>31</v>
      </c>
      <c r="D49" s="33">
        <v>44340</v>
      </c>
      <c r="E49" s="24">
        <v>10</v>
      </c>
      <c r="F49" s="24">
        <v>0.702645841021446</v>
      </c>
      <c r="G49" s="33">
        <v>44928</v>
      </c>
      <c r="H49" s="24">
        <v>0.369783832169231</v>
      </c>
      <c r="I49" s="20"/>
    </row>
    <row r="50" spans="1:9" ht="14.4">
      <c r="A50" s="21" t="s">
        <v>91</v>
      </c>
      <c r="B50" s="22" t="s">
        <v>24</v>
      </c>
      <c r="C50" s="23" t="s">
        <v>25</v>
      </c>
      <c r="D50" s="33">
        <v>44502</v>
      </c>
      <c r="E50" s="24">
        <v>3</v>
      </c>
      <c r="F50" s="24">
        <v>6.7860349366877903E-2</v>
      </c>
      <c r="G50" s="33">
        <v>45026</v>
      </c>
      <c r="H50" s="24">
        <v>0.67274821533457596</v>
      </c>
      <c r="I50" s="20"/>
    </row>
    <row r="51" spans="1:9" ht="14.4">
      <c r="A51" s="21" t="s">
        <v>92</v>
      </c>
      <c r="B51" s="22" t="s">
        <v>54</v>
      </c>
      <c r="C51" s="23" t="s">
        <v>55</v>
      </c>
      <c r="D51" s="33">
        <v>44560</v>
      </c>
      <c r="E51" s="24">
        <v>9</v>
      </c>
      <c r="F51" s="24">
        <v>0.407593318710052</v>
      </c>
      <c r="G51" s="33">
        <v>44988</v>
      </c>
      <c r="H51" s="24">
        <v>0.63816582309695902</v>
      </c>
      <c r="I51" s="20"/>
    </row>
    <row r="52" spans="1:9" ht="14.4">
      <c r="A52" s="21" t="s">
        <v>93</v>
      </c>
      <c r="B52" s="22" t="s">
        <v>61</v>
      </c>
      <c r="C52" s="23" t="s">
        <v>62</v>
      </c>
      <c r="D52" s="33">
        <v>44361</v>
      </c>
      <c r="E52" s="24">
        <v>4</v>
      </c>
      <c r="F52" s="24">
        <v>0.52920695915069904</v>
      </c>
      <c r="G52" s="33">
        <v>44976</v>
      </c>
      <c r="H52" s="24">
        <v>0.13238552807963799</v>
      </c>
      <c r="I52" s="20"/>
    </row>
    <row r="53" spans="1:9" ht="14.4">
      <c r="A53" s="21" t="s">
        <v>94</v>
      </c>
      <c r="B53" s="22" t="s">
        <v>17</v>
      </c>
      <c r="C53" s="23" t="s">
        <v>18</v>
      </c>
      <c r="D53" s="33">
        <v>44343</v>
      </c>
      <c r="E53" s="24">
        <v>1</v>
      </c>
      <c r="F53" s="24">
        <v>0.83003541427247696</v>
      </c>
      <c r="G53" s="33">
        <v>44965</v>
      </c>
      <c r="H53" s="24">
        <v>0.52621974753425005</v>
      </c>
      <c r="I53" s="20"/>
    </row>
    <row r="54" spans="1:9" ht="14.4">
      <c r="A54" s="21" t="s">
        <v>95</v>
      </c>
      <c r="B54" s="22" t="s">
        <v>17</v>
      </c>
      <c r="C54" s="23" t="s">
        <v>18</v>
      </c>
      <c r="D54" s="33">
        <v>44382</v>
      </c>
      <c r="E54" s="24">
        <v>9</v>
      </c>
      <c r="F54" s="24">
        <v>0.13503720101241901</v>
      </c>
      <c r="G54" s="33">
        <v>45017</v>
      </c>
      <c r="H54" s="24">
        <v>0.85749627053317901</v>
      </c>
      <c r="I54" s="20"/>
    </row>
    <row r="55" spans="1:9" ht="14.4">
      <c r="A55" s="21" t="s">
        <v>96</v>
      </c>
      <c r="B55" s="22" t="s">
        <v>54</v>
      </c>
      <c r="C55" s="23" t="s">
        <v>55</v>
      </c>
      <c r="D55" s="33">
        <v>44680</v>
      </c>
      <c r="E55" s="24">
        <v>2</v>
      </c>
      <c r="F55" s="24">
        <v>0.18457397753690899</v>
      </c>
      <c r="G55" s="33">
        <v>45004</v>
      </c>
      <c r="H55" s="24">
        <v>0.74032989684219797</v>
      </c>
      <c r="I55" s="20"/>
    </row>
    <row r="56" spans="1:9" ht="14.4">
      <c r="A56" s="21" t="s">
        <v>97</v>
      </c>
      <c r="B56" s="22" t="s">
        <v>24</v>
      </c>
      <c r="C56" s="23" t="s">
        <v>25</v>
      </c>
      <c r="D56" s="33">
        <v>44816</v>
      </c>
      <c r="E56" s="24">
        <v>7</v>
      </c>
      <c r="F56" s="24">
        <v>1.4827494446379701E-2</v>
      </c>
      <c r="G56" s="33">
        <v>44978</v>
      </c>
      <c r="H56" s="24">
        <v>0.41833053891377597</v>
      </c>
      <c r="I56" s="20"/>
    </row>
    <row r="57" spans="1:9" ht="14.4">
      <c r="A57" s="21" t="s">
        <v>98</v>
      </c>
      <c r="B57" s="22" t="s">
        <v>27</v>
      </c>
      <c r="C57" s="23" t="s">
        <v>28</v>
      </c>
      <c r="D57" s="33">
        <v>44278</v>
      </c>
      <c r="E57" s="24">
        <v>4</v>
      </c>
      <c r="F57" s="24">
        <v>0.27577765609607802</v>
      </c>
      <c r="G57" s="33">
        <v>45071</v>
      </c>
      <c r="H57" s="24">
        <v>0.84349820990746505</v>
      </c>
      <c r="I57" s="20"/>
    </row>
    <row r="58" spans="1:9" ht="14.4">
      <c r="A58" s="21" t="s">
        <v>99</v>
      </c>
      <c r="B58" s="22" t="s">
        <v>43</v>
      </c>
      <c r="C58" s="23" t="s">
        <v>44</v>
      </c>
      <c r="D58" s="33">
        <v>44667</v>
      </c>
      <c r="E58" s="24">
        <v>2</v>
      </c>
      <c r="F58" s="24">
        <v>1.4798370860461801E-2</v>
      </c>
      <c r="G58" s="33">
        <v>45011</v>
      </c>
      <c r="H58" s="24">
        <v>0.65581817056759795</v>
      </c>
      <c r="I58" s="20"/>
    </row>
    <row r="59" spans="1:9" ht="14.4">
      <c r="A59" s="21" t="s">
        <v>100</v>
      </c>
      <c r="B59" s="22" t="s">
        <v>71</v>
      </c>
      <c r="C59" s="23" t="s">
        <v>50</v>
      </c>
      <c r="D59" s="33">
        <v>44420</v>
      </c>
      <c r="E59" s="24">
        <v>4</v>
      </c>
      <c r="F59" s="24">
        <v>0.71929697815108395</v>
      </c>
      <c r="G59" s="33">
        <v>45029</v>
      </c>
      <c r="H59" s="24">
        <v>5.4091466872212501E-2</v>
      </c>
      <c r="I59" s="20"/>
    </row>
    <row r="60" spans="1:9" ht="14.4">
      <c r="A60" s="21" t="s">
        <v>101</v>
      </c>
      <c r="B60" s="22" t="s">
        <v>34</v>
      </c>
      <c r="C60" s="23" t="s">
        <v>35</v>
      </c>
      <c r="D60" s="33">
        <v>44922</v>
      </c>
      <c r="E60" s="24">
        <v>6</v>
      </c>
      <c r="F60" s="24">
        <v>0.45894107528788403</v>
      </c>
      <c r="G60" s="33">
        <v>44952</v>
      </c>
      <c r="H60" s="24">
        <v>0.64879966285478297</v>
      </c>
      <c r="I60" s="20"/>
    </row>
    <row r="61" spans="1:9" ht="14.4">
      <c r="A61" s="21" t="s">
        <v>102</v>
      </c>
      <c r="B61" s="22" t="s">
        <v>103</v>
      </c>
      <c r="C61" s="23" t="s">
        <v>104</v>
      </c>
      <c r="D61" s="33">
        <v>44356</v>
      </c>
      <c r="E61" s="24">
        <v>6</v>
      </c>
      <c r="F61" s="24">
        <v>0.75369284563293804</v>
      </c>
      <c r="G61" s="33">
        <v>45000</v>
      </c>
      <c r="H61" s="24">
        <v>0.95310350121023102</v>
      </c>
      <c r="I61" s="20"/>
    </row>
    <row r="62" spans="1:9" ht="14.4">
      <c r="A62" s="21" t="s">
        <v>105</v>
      </c>
      <c r="B62" s="22" t="s">
        <v>39</v>
      </c>
      <c r="C62" s="23" t="s">
        <v>40</v>
      </c>
      <c r="D62" s="33">
        <v>44315</v>
      </c>
      <c r="E62" s="24">
        <v>7</v>
      </c>
      <c r="F62" s="24">
        <v>0.73835370024837998</v>
      </c>
      <c r="G62" s="33">
        <v>45020</v>
      </c>
      <c r="H62" s="24">
        <v>0.10264222958663</v>
      </c>
      <c r="I62" s="20"/>
    </row>
    <row r="63" spans="1:9" ht="14.4">
      <c r="A63" s="21" t="s">
        <v>106</v>
      </c>
      <c r="B63" s="22" t="s">
        <v>12</v>
      </c>
      <c r="C63" s="23" t="s">
        <v>13</v>
      </c>
      <c r="D63" s="33">
        <v>44860</v>
      </c>
      <c r="E63" s="24">
        <v>8</v>
      </c>
      <c r="F63" s="24">
        <v>0.585256316656942</v>
      </c>
      <c r="G63" s="33">
        <v>45041</v>
      </c>
      <c r="H63" s="24">
        <v>0.63534355964006295</v>
      </c>
      <c r="I63" s="20"/>
    </row>
    <row r="64" spans="1:9" ht="14.4">
      <c r="A64" s="21" t="s">
        <v>107</v>
      </c>
      <c r="B64" s="22" t="s">
        <v>58</v>
      </c>
      <c r="C64" s="23" t="s">
        <v>59</v>
      </c>
      <c r="D64" s="33">
        <v>44340</v>
      </c>
      <c r="E64" s="24">
        <v>9</v>
      </c>
      <c r="F64" s="24">
        <v>0.87646719833682096</v>
      </c>
      <c r="G64" s="33">
        <v>44957</v>
      </c>
      <c r="H64" s="24">
        <v>0.32932752883912297</v>
      </c>
      <c r="I64" s="20"/>
    </row>
    <row r="65" spans="1:9" ht="14.4">
      <c r="A65" s="21" t="s">
        <v>108</v>
      </c>
      <c r="B65" s="22" t="s">
        <v>34</v>
      </c>
      <c r="C65" s="23" t="s">
        <v>35</v>
      </c>
      <c r="D65" s="33">
        <v>44773</v>
      </c>
      <c r="E65" s="24">
        <v>5</v>
      </c>
      <c r="F65" s="24">
        <v>0.68720157697523698</v>
      </c>
      <c r="G65" s="33">
        <v>45054</v>
      </c>
      <c r="H65" s="24">
        <v>0.79990973215818495</v>
      </c>
      <c r="I65" s="20"/>
    </row>
    <row r="66" spans="1:9" ht="14.4">
      <c r="A66" s="21" t="s">
        <v>109</v>
      </c>
      <c r="B66" s="22" t="s">
        <v>27</v>
      </c>
      <c r="C66" s="23" t="s">
        <v>28</v>
      </c>
      <c r="D66" s="33">
        <v>44347</v>
      </c>
      <c r="E66" s="24">
        <v>1</v>
      </c>
      <c r="F66" s="24">
        <v>0.48588703608226103</v>
      </c>
      <c r="G66" s="33">
        <v>45035</v>
      </c>
      <c r="H66" s="24">
        <v>0.45518918214522902</v>
      </c>
      <c r="I66" s="20"/>
    </row>
    <row r="67" spans="1:9" ht="14.4">
      <c r="A67" s="21" t="s">
        <v>110</v>
      </c>
      <c r="B67" s="22" t="s">
        <v>71</v>
      </c>
      <c r="C67" s="23" t="s">
        <v>50</v>
      </c>
      <c r="D67" s="33">
        <v>44659</v>
      </c>
      <c r="E67" s="24">
        <v>2</v>
      </c>
      <c r="F67" s="24">
        <v>0.68555193640676504</v>
      </c>
      <c r="G67" s="33">
        <v>45014</v>
      </c>
      <c r="H67" s="24">
        <v>0.40035912772023502</v>
      </c>
      <c r="I67" s="20"/>
    </row>
    <row r="68" spans="1:9" ht="14.4">
      <c r="A68" s="21" t="s">
        <v>111</v>
      </c>
      <c r="B68" s="22" t="s">
        <v>58</v>
      </c>
      <c r="C68" s="23" t="s">
        <v>59</v>
      </c>
      <c r="D68" s="33">
        <v>44679</v>
      </c>
      <c r="E68" s="24">
        <v>1</v>
      </c>
      <c r="F68" s="24">
        <v>0.574831092396204</v>
      </c>
      <c r="G68" s="33">
        <v>44936</v>
      </c>
      <c r="H68" s="24">
        <v>0.14703843884491</v>
      </c>
      <c r="I68" s="20"/>
    </row>
    <row r="69" spans="1:9" ht="14.4">
      <c r="A69" s="21" t="s">
        <v>112</v>
      </c>
      <c r="B69" s="22" t="s">
        <v>81</v>
      </c>
      <c r="C69" s="23" t="s">
        <v>62</v>
      </c>
      <c r="D69" s="33">
        <v>44800</v>
      </c>
      <c r="E69" s="24">
        <v>4</v>
      </c>
      <c r="F69" s="24">
        <v>0.89057060464664195</v>
      </c>
      <c r="G69" s="33">
        <v>45004</v>
      </c>
      <c r="H69" s="24">
        <v>0.24766978894018499</v>
      </c>
      <c r="I69" s="20"/>
    </row>
    <row r="70" spans="1:9" ht="14.4">
      <c r="A70" s="21" t="s">
        <v>113</v>
      </c>
      <c r="B70" s="22" t="s">
        <v>9</v>
      </c>
      <c r="C70" s="23" t="s">
        <v>10</v>
      </c>
      <c r="D70" s="33">
        <v>44889</v>
      </c>
      <c r="E70" s="24">
        <v>4</v>
      </c>
      <c r="F70" s="24">
        <v>0.64606533640427699</v>
      </c>
      <c r="G70" s="33">
        <v>44977</v>
      </c>
      <c r="H70" s="24">
        <v>0.75502767909149604</v>
      </c>
      <c r="I70" s="20"/>
    </row>
    <row r="71" spans="1:9" ht="14.4">
      <c r="A71" s="21" t="s">
        <v>114</v>
      </c>
      <c r="B71" s="22" t="s">
        <v>103</v>
      </c>
      <c r="C71" s="23" t="s">
        <v>104</v>
      </c>
      <c r="D71" s="33">
        <v>44574</v>
      </c>
      <c r="E71" s="24">
        <v>5</v>
      </c>
      <c r="F71" s="24">
        <v>2.4408043245797401E-2</v>
      </c>
      <c r="G71" s="33">
        <v>45041</v>
      </c>
      <c r="H71" s="24">
        <v>0.11842008103757801</v>
      </c>
      <c r="I71" s="20"/>
    </row>
    <row r="72" spans="1:9" ht="14.4">
      <c r="A72" s="21" t="s">
        <v>115</v>
      </c>
      <c r="B72" s="22" t="s">
        <v>61</v>
      </c>
      <c r="C72" s="23" t="s">
        <v>62</v>
      </c>
      <c r="D72" s="33">
        <v>44752</v>
      </c>
      <c r="E72" s="24">
        <v>1</v>
      </c>
      <c r="F72" s="24">
        <v>0.144587962809021</v>
      </c>
      <c r="G72" s="33">
        <v>44974</v>
      </c>
      <c r="H72" s="24">
        <v>0.22337306376263399</v>
      </c>
      <c r="I72" s="20"/>
    </row>
    <row r="73" spans="1:9" ht="14.4">
      <c r="A73" s="21" t="s">
        <v>116</v>
      </c>
      <c r="B73" s="22" t="s">
        <v>46</v>
      </c>
      <c r="C73" s="23" t="s">
        <v>47</v>
      </c>
      <c r="D73" s="33">
        <v>44786</v>
      </c>
      <c r="E73" s="24">
        <v>7</v>
      </c>
      <c r="F73" s="24">
        <v>1.31744392227479E-2</v>
      </c>
      <c r="G73" s="33">
        <v>45030</v>
      </c>
      <c r="H73" s="24">
        <v>0.97185682841004495</v>
      </c>
      <c r="I73" s="20"/>
    </row>
    <row r="74" spans="1:9" ht="14.4">
      <c r="A74" s="21" t="s">
        <v>117</v>
      </c>
      <c r="B74" s="22" t="s">
        <v>21</v>
      </c>
      <c r="C74" s="23" t="s">
        <v>22</v>
      </c>
      <c r="D74" s="33">
        <v>44644</v>
      </c>
      <c r="E74" s="24">
        <v>4</v>
      </c>
      <c r="F74" s="24">
        <v>0.81530857906975795</v>
      </c>
      <c r="G74" s="33">
        <v>44954</v>
      </c>
      <c r="H74" s="24">
        <v>0.48260987316073201</v>
      </c>
      <c r="I74" s="20"/>
    </row>
    <row r="75" spans="1:9" ht="14.4">
      <c r="A75" s="21" t="s">
        <v>118</v>
      </c>
      <c r="B75" s="22" t="s">
        <v>17</v>
      </c>
      <c r="C75" s="23" t="s">
        <v>18</v>
      </c>
      <c r="D75" s="33">
        <v>44554</v>
      </c>
      <c r="E75" s="24">
        <v>6</v>
      </c>
      <c r="F75" s="24">
        <v>0.15491081045699601</v>
      </c>
      <c r="G75" s="33">
        <v>45064</v>
      </c>
      <c r="H75" s="24">
        <v>0.76802453424894601</v>
      </c>
      <c r="I75" s="20"/>
    </row>
    <row r="76" spans="1:9" ht="14.4">
      <c r="A76" s="21" t="s">
        <v>119</v>
      </c>
      <c r="B76" s="22" t="s">
        <v>58</v>
      </c>
      <c r="C76" s="23" t="s">
        <v>59</v>
      </c>
      <c r="D76" s="33">
        <v>44706</v>
      </c>
      <c r="E76" s="24">
        <v>1</v>
      </c>
      <c r="F76" s="24">
        <v>0.269555056043635</v>
      </c>
      <c r="G76" s="33">
        <v>45000</v>
      </c>
      <c r="H76" s="24">
        <v>0.122182361751799</v>
      </c>
      <c r="I76" s="20"/>
    </row>
    <row r="77" spans="1:9" ht="14.4">
      <c r="A77" s="21" t="s">
        <v>120</v>
      </c>
      <c r="B77" s="22" t="s">
        <v>15</v>
      </c>
      <c r="C77" s="23" t="s">
        <v>10</v>
      </c>
      <c r="D77" s="33">
        <v>44794</v>
      </c>
      <c r="E77" s="24">
        <v>3</v>
      </c>
      <c r="F77" s="24">
        <v>0.71512622981990404</v>
      </c>
      <c r="G77" s="33">
        <v>45023</v>
      </c>
      <c r="H77" s="24">
        <v>2.82332058926804E-3</v>
      </c>
      <c r="I77" s="20"/>
    </row>
    <row r="78" spans="1:9" ht="14.4">
      <c r="A78" s="21" t="s">
        <v>121</v>
      </c>
      <c r="B78" s="22" t="s">
        <v>34</v>
      </c>
      <c r="C78" s="23" t="s">
        <v>35</v>
      </c>
      <c r="D78" s="33">
        <v>44423</v>
      </c>
      <c r="E78" s="24">
        <v>5</v>
      </c>
      <c r="F78" s="24">
        <v>0.517478802978105</v>
      </c>
      <c r="G78" s="33">
        <v>44991</v>
      </c>
      <c r="H78" s="24">
        <v>0.194941670945359</v>
      </c>
      <c r="I78" s="20"/>
    </row>
    <row r="79" spans="1:9" ht="14.4">
      <c r="A79" s="21" t="s">
        <v>122</v>
      </c>
      <c r="B79" s="22" t="s">
        <v>58</v>
      </c>
      <c r="C79" s="23" t="s">
        <v>59</v>
      </c>
      <c r="D79" s="33">
        <v>44270</v>
      </c>
      <c r="E79" s="24">
        <v>3</v>
      </c>
      <c r="F79" s="24">
        <v>0.98933192835650696</v>
      </c>
      <c r="G79" s="33">
        <v>44952</v>
      </c>
      <c r="H79" s="24">
        <v>0.116747383128981</v>
      </c>
      <c r="I79" s="20"/>
    </row>
    <row r="80" spans="1:9" ht="14.4">
      <c r="A80" s="21" t="s">
        <v>123</v>
      </c>
      <c r="B80" s="22" t="s">
        <v>73</v>
      </c>
      <c r="C80" s="23" t="s">
        <v>74</v>
      </c>
      <c r="D80" s="33">
        <v>44852</v>
      </c>
      <c r="E80" s="24">
        <v>5</v>
      </c>
      <c r="F80" s="24">
        <v>0.32415684712172899</v>
      </c>
      <c r="G80" s="33">
        <v>45051</v>
      </c>
      <c r="H80" s="24">
        <v>0.28398523541759901</v>
      </c>
      <c r="I80" s="20"/>
    </row>
    <row r="81" spans="1:9" ht="14.4">
      <c r="A81" s="21" t="s">
        <v>124</v>
      </c>
      <c r="B81" s="22" t="s">
        <v>9</v>
      </c>
      <c r="C81" s="23" t="s">
        <v>10</v>
      </c>
      <c r="D81" s="33">
        <v>44343</v>
      </c>
      <c r="E81" s="24">
        <v>6</v>
      </c>
      <c r="F81" s="24">
        <v>0.64559425958074801</v>
      </c>
      <c r="G81" s="33">
        <v>45057</v>
      </c>
      <c r="H81" s="24">
        <v>0.74976354481356899</v>
      </c>
      <c r="I81" s="20"/>
    </row>
    <row r="82" spans="1:9" ht="14.4">
      <c r="A82" s="21" t="s">
        <v>125</v>
      </c>
      <c r="B82" s="22" t="s">
        <v>103</v>
      </c>
      <c r="C82" s="23" t="s">
        <v>104</v>
      </c>
      <c r="D82" s="33">
        <v>44643</v>
      </c>
      <c r="E82" s="24">
        <v>10</v>
      </c>
      <c r="F82" s="24">
        <v>0.13502577444900801</v>
      </c>
      <c r="G82" s="33">
        <v>45050</v>
      </c>
      <c r="H82" s="24">
        <v>9.7289928257875094E-2</v>
      </c>
      <c r="I82" s="20"/>
    </row>
    <row r="83" spans="1:9" ht="14.4">
      <c r="A83" s="21" t="s">
        <v>126</v>
      </c>
      <c r="B83" s="22" t="s">
        <v>43</v>
      </c>
      <c r="C83" s="23" t="s">
        <v>44</v>
      </c>
      <c r="D83" s="33">
        <v>44353</v>
      </c>
      <c r="E83" s="24">
        <v>8</v>
      </c>
      <c r="F83" s="24">
        <v>0.74864767306151003</v>
      </c>
      <c r="G83" s="33">
        <v>45075</v>
      </c>
      <c r="H83" s="24">
        <v>0.91487830622236999</v>
      </c>
      <c r="I83" s="20"/>
    </row>
    <row r="84" spans="1:9" ht="14.4">
      <c r="A84" s="21" t="s">
        <v>127</v>
      </c>
      <c r="B84" s="22" t="s">
        <v>49</v>
      </c>
      <c r="C84" s="23" t="s">
        <v>50</v>
      </c>
      <c r="D84" s="33">
        <v>44703</v>
      </c>
      <c r="E84" s="24">
        <v>1</v>
      </c>
      <c r="F84" s="24">
        <v>0.105161391848884</v>
      </c>
      <c r="G84" s="33">
        <v>45054</v>
      </c>
      <c r="H84" s="24">
        <v>0.22690729464404399</v>
      </c>
      <c r="I84" s="20"/>
    </row>
    <row r="85" spans="1:9" ht="14.4">
      <c r="A85" s="21" t="s">
        <v>128</v>
      </c>
      <c r="B85" s="22" t="s">
        <v>129</v>
      </c>
      <c r="C85" s="23" t="s">
        <v>22</v>
      </c>
      <c r="D85" s="33">
        <v>44742</v>
      </c>
      <c r="E85" s="24">
        <v>6</v>
      </c>
      <c r="F85" s="24">
        <v>0.11408685507641</v>
      </c>
      <c r="G85" s="33">
        <v>44954</v>
      </c>
      <c r="H85" s="24">
        <v>0.33571676903915298</v>
      </c>
      <c r="I85" s="20"/>
    </row>
    <row r="86" spans="1:9" ht="14.4">
      <c r="A86" s="21" t="s">
        <v>130</v>
      </c>
      <c r="B86" s="22" t="s">
        <v>61</v>
      </c>
      <c r="C86" s="23" t="s">
        <v>62</v>
      </c>
      <c r="D86" s="33">
        <v>44600</v>
      </c>
      <c r="E86" s="24">
        <v>1</v>
      </c>
      <c r="F86" s="24">
        <v>0.58372843681935904</v>
      </c>
      <c r="G86" s="33">
        <v>44997</v>
      </c>
      <c r="H86" s="24">
        <v>0.38186645762982302</v>
      </c>
      <c r="I86" s="20"/>
    </row>
    <row r="87" spans="1:9" ht="14.4">
      <c r="A87" s="21" t="s">
        <v>131</v>
      </c>
      <c r="B87" s="22" t="s">
        <v>129</v>
      </c>
      <c r="C87" s="23" t="s">
        <v>22</v>
      </c>
      <c r="D87" s="33">
        <v>44721</v>
      </c>
      <c r="E87" s="24">
        <v>6</v>
      </c>
      <c r="F87" s="24">
        <v>1.6069181318315098E-2</v>
      </c>
      <c r="G87" s="33">
        <v>44928</v>
      </c>
      <c r="H87" s="24">
        <v>0.93551003990677095</v>
      </c>
      <c r="I87" s="20"/>
    </row>
    <row r="88" spans="1:9" ht="14.4">
      <c r="A88" s="21" t="s">
        <v>132</v>
      </c>
      <c r="B88" s="22" t="s">
        <v>103</v>
      </c>
      <c r="C88" s="23" t="s">
        <v>104</v>
      </c>
      <c r="D88" s="33">
        <v>44544</v>
      </c>
      <c r="E88" s="24">
        <v>7</v>
      </c>
      <c r="F88" s="24">
        <v>0.77483286137645402</v>
      </c>
      <c r="G88" s="33">
        <v>44977</v>
      </c>
      <c r="H88" s="24">
        <v>0.83972936204120796</v>
      </c>
      <c r="I88" s="20"/>
    </row>
    <row r="89" spans="1:9" ht="14.4">
      <c r="A89" s="21" t="s">
        <v>133</v>
      </c>
      <c r="B89" s="22" t="s">
        <v>34</v>
      </c>
      <c r="C89" s="23" t="s">
        <v>35</v>
      </c>
      <c r="D89" s="33">
        <v>44304</v>
      </c>
      <c r="E89" s="24">
        <v>6</v>
      </c>
      <c r="F89" s="24">
        <v>0.83415711448827101</v>
      </c>
      <c r="G89" s="33">
        <v>45032</v>
      </c>
      <c r="H89" s="24">
        <v>0.73754903864989096</v>
      </c>
      <c r="I89" s="20"/>
    </row>
    <row r="90" spans="1:9" ht="14.4">
      <c r="A90" s="21" t="s">
        <v>134</v>
      </c>
      <c r="B90" s="22" t="s">
        <v>15</v>
      </c>
      <c r="C90" s="23" t="s">
        <v>10</v>
      </c>
      <c r="D90" s="33">
        <v>44285</v>
      </c>
      <c r="E90" s="24">
        <v>7</v>
      </c>
      <c r="F90" s="24">
        <v>0.27349998025771599</v>
      </c>
      <c r="G90" s="33">
        <v>45056</v>
      </c>
      <c r="H90" s="24">
        <v>0.398707058551939</v>
      </c>
      <c r="I90" s="20"/>
    </row>
    <row r="91" spans="1:9" ht="14.4">
      <c r="A91" s="21" t="s">
        <v>135</v>
      </c>
      <c r="B91" s="22" t="s">
        <v>21</v>
      </c>
      <c r="C91" s="23" t="s">
        <v>22</v>
      </c>
      <c r="D91" s="33">
        <v>44279</v>
      </c>
      <c r="E91" s="24">
        <v>10</v>
      </c>
      <c r="F91" s="24">
        <v>0.17894362318854701</v>
      </c>
      <c r="G91" s="33">
        <v>45026</v>
      </c>
      <c r="H91" s="24">
        <v>0.27983535659688702</v>
      </c>
      <c r="I91" s="20"/>
    </row>
    <row r="92" spans="1:9" ht="14.4">
      <c r="A92" s="21" t="s">
        <v>136</v>
      </c>
      <c r="B92" s="22" t="s">
        <v>9</v>
      </c>
      <c r="C92" s="23" t="s">
        <v>10</v>
      </c>
      <c r="D92" s="33">
        <v>44206</v>
      </c>
      <c r="E92" s="24">
        <v>2</v>
      </c>
      <c r="F92" s="24">
        <v>0.90504227111458202</v>
      </c>
      <c r="G92" s="33">
        <v>44957</v>
      </c>
      <c r="H92" s="24">
        <v>0.45883084719257899</v>
      </c>
      <c r="I92" s="20"/>
    </row>
    <row r="93" spans="1:9" ht="14.4">
      <c r="A93" s="21" t="s">
        <v>137</v>
      </c>
      <c r="B93" s="22" t="s">
        <v>58</v>
      </c>
      <c r="C93" s="23" t="s">
        <v>59</v>
      </c>
      <c r="D93" s="33">
        <v>44557</v>
      </c>
      <c r="E93" s="24">
        <v>4</v>
      </c>
      <c r="F93" s="24">
        <v>3.6105377236760302E-3</v>
      </c>
      <c r="G93" s="33">
        <v>44993</v>
      </c>
      <c r="H93" s="24">
        <v>0.430410454177235</v>
      </c>
      <c r="I93" s="20"/>
    </row>
    <row r="94" spans="1:9" ht="14.4">
      <c r="A94" s="21" t="s">
        <v>138</v>
      </c>
      <c r="B94" s="22" t="s">
        <v>81</v>
      </c>
      <c r="C94" s="23" t="s">
        <v>62</v>
      </c>
      <c r="D94" s="33">
        <v>44366</v>
      </c>
      <c r="E94" s="24">
        <v>2</v>
      </c>
      <c r="F94" s="24">
        <v>0.256532208615462</v>
      </c>
      <c r="G94" s="33">
        <v>44975</v>
      </c>
      <c r="H94" s="24">
        <v>0.25683090454434099</v>
      </c>
      <c r="I94" s="20"/>
    </row>
    <row r="95" spans="1:9" ht="14.4">
      <c r="A95" s="21" t="s">
        <v>139</v>
      </c>
      <c r="B95" s="22" t="s">
        <v>103</v>
      </c>
      <c r="C95" s="23" t="s">
        <v>104</v>
      </c>
      <c r="D95" s="33">
        <v>44250</v>
      </c>
      <c r="E95" s="24">
        <v>5</v>
      </c>
      <c r="F95" s="24">
        <v>0.70021844930653598</v>
      </c>
      <c r="G95" s="33">
        <v>45008</v>
      </c>
      <c r="H95" s="24">
        <v>0.61187665279577597</v>
      </c>
      <c r="I95" s="20"/>
    </row>
    <row r="96" spans="1:9" ht="14.4">
      <c r="A96" s="21" t="s">
        <v>140</v>
      </c>
      <c r="B96" s="22" t="s">
        <v>21</v>
      </c>
      <c r="C96" s="23" t="s">
        <v>22</v>
      </c>
      <c r="D96" s="33">
        <v>44235</v>
      </c>
      <c r="E96" s="24">
        <v>2</v>
      </c>
      <c r="F96" s="24">
        <v>0.86236623667253698</v>
      </c>
      <c r="G96" s="33">
        <v>45015</v>
      </c>
      <c r="H96" s="24">
        <v>0.56413054876588398</v>
      </c>
      <c r="I96" s="20"/>
    </row>
    <row r="97" spans="1:9" ht="14.4">
      <c r="A97" s="21" t="s">
        <v>141</v>
      </c>
      <c r="B97" s="22" t="s">
        <v>129</v>
      </c>
      <c r="C97" s="23" t="s">
        <v>22</v>
      </c>
      <c r="D97" s="33">
        <v>44774</v>
      </c>
      <c r="E97" s="24">
        <v>5</v>
      </c>
      <c r="F97" s="24">
        <v>0.309379274915278</v>
      </c>
      <c r="G97" s="33">
        <v>45015</v>
      </c>
      <c r="H97" s="24">
        <v>6.4512653240185102E-3</v>
      </c>
      <c r="I97" s="20"/>
    </row>
    <row r="98" spans="1:9" ht="14.4">
      <c r="A98" s="21" t="s">
        <v>142</v>
      </c>
      <c r="B98" s="22" t="s">
        <v>103</v>
      </c>
      <c r="C98" s="23" t="s">
        <v>104</v>
      </c>
      <c r="D98" s="33">
        <v>44396</v>
      </c>
      <c r="E98" s="24">
        <v>7</v>
      </c>
      <c r="F98" s="24">
        <v>0.55211790295911001</v>
      </c>
      <c r="G98" s="33">
        <v>45011</v>
      </c>
      <c r="H98" s="24">
        <v>0.33871055216854301</v>
      </c>
      <c r="I98" s="20"/>
    </row>
    <row r="99" spans="1:9" ht="14.4">
      <c r="A99" s="21" t="s">
        <v>143</v>
      </c>
      <c r="B99" s="22" t="s">
        <v>129</v>
      </c>
      <c r="C99" s="23" t="s">
        <v>22</v>
      </c>
      <c r="D99" s="33">
        <v>44491</v>
      </c>
      <c r="E99" s="24">
        <v>4</v>
      </c>
      <c r="F99" s="24">
        <v>0.20150989296011099</v>
      </c>
      <c r="G99" s="33">
        <v>45067</v>
      </c>
      <c r="H99" s="24">
        <v>0.23936851527945999</v>
      </c>
      <c r="I99" s="20"/>
    </row>
    <row r="100" spans="1:9" ht="14.4">
      <c r="A100" s="21" t="s">
        <v>144</v>
      </c>
      <c r="B100" s="22" t="s">
        <v>15</v>
      </c>
      <c r="C100" s="23" t="s">
        <v>10</v>
      </c>
      <c r="D100" s="33">
        <v>44534</v>
      </c>
      <c r="E100" s="24">
        <v>5</v>
      </c>
      <c r="F100" s="24">
        <v>0.18484009932934201</v>
      </c>
      <c r="G100" s="33">
        <v>44952</v>
      </c>
      <c r="H100" s="24">
        <v>0.17511595791935999</v>
      </c>
      <c r="I100" s="20"/>
    </row>
    <row r="101" spans="1:9" ht="14.4">
      <c r="A101" s="21" t="s">
        <v>145</v>
      </c>
      <c r="B101" s="22" t="s">
        <v>30</v>
      </c>
      <c r="C101" s="23" t="s">
        <v>31</v>
      </c>
      <c r="D101" s="33">
        <v>44872</v>
      </c>
      <c r="E101" s="24">
        <v>6</v>
      </c>
      <c r="F101" s="24">
        <v>0.34955930087119302</v>
      </c>
      <c r="G101" s="33">
        <v>44929</v>
      </c>
      <c r="H101" s="24">
        <v>0.53327527116873796</v>
      </c>
      <c r="I101" s="20"/>
    </row>
    <row r="102" spans="1:9" ht="14.4">
      <c r="A102" s="21" t="s">
        <v>146</v>
      </c>
      <c r="B102" s="22" t="s">
        <v>103</v>
      </c>
      <c r="C102" s="23" t="s">
        <v>104</v>
      </c>
      <c r="D102" s="33">
        <v>44468</v>
      </c>
      <c r="E102" s="24">
        <v>3</v>
      </c>
      <c r="F102" s="24">
        <v>0.93189165277683395</v>
      </c>
      <c r="G102" s="33">
        <v>44962</v>
      </c>
      <c r="H102" s="24">
        <v>2.43785689040747E-2</v>
      </c>
      <c r="I102" s="20"/>
    </row>
    <row r="103" spans="1:9" ht="14.4">
      <c r="A103" s="21" t="s">
        <v>147</v>
      </c>
      <c r="B103" s="22" t="s">
        <v>73</v>
      </c>
      <c r="C103" s="23" t="s">
        <v>74</v>
      </c>
      <c r="D103" s="33">
        <v>44921</v>
      </c>
      <c r="E103" s="24">
        <v>10</v>
      </c>
      <c r="F103" s="24">
        <v>0.68735083469695002</v>
      </c>
      <c r="G103" s="33">
        <v>44990</v>
      </c>
      <c r="H103" s="24">
        <v>0.41787841201432302</v>
      </c>
      <c r="I103" s="20"/>
    </row>
    <row r="104" spans="1:9" ht="14.4">
      <c r="A104" s="21" t="s">
        <v>148</v>
      </c>
      <c r="B104" s="22" t="s">
        <v>39</v>
      </c>
      <c r="C104" s="23" t="s">
        <v>40</v>
      </c>
      <c r="D104" s="33">
        <v>44605</v>
      </c>
      <c r="E104" s="24">
        <v>5</v>
      </c>
      <c r="F104" s="24">
        <v>0.17493546348643599</v>
      </c>
      <c r="G104" s="33">
        <v>45001</v>
      </c>
      <c r="H104" s="24">
        <v>0.83666855090333903</v>
      </c>
      <c r="I104" s="20"/>
    </row>
    <row r="105" spans="1:9" ht="14.4">
      <c r="A105" s="21" t="s">
        <v>149</v>
      </c>
      <c r="B105" s="22" t="s">
        <v>103</v>
      </c>
      <c r="C105" s="23" t="s">
        <v>104</v>
      </c>
      <c r="D105" s="33">
        <v>44659</v>
      </c>
      <c r="E105" s="24">
        <v>7</v>
      </c>
      <c r="F105" s="24">
        <v>0.75215132834364595</v>
      </c>
      <c r="G105" s="33">
        <v>45051</v>
      </c>
      <c r="H105" s="24">
        <v>2.6168363795351798E-2</v>
      </c>
      <c r="I105" s="20"/>
    </row>
    <row r="106" spans="1:9" ht="14.4">
      <c r="A106" s="21" t="s">
        <v>150</v>
      </c>
      <c r="B106" s="22" t="s">
        <v>39</v>
      </c>
      <c r="C106" s="23" t="s">
        <v>40</v>
      </c>
      <c r="D106" s="33">
        <v>44263</v>
      </c>
      <c r="E106" s="24">
        <v>1</v>
      </c>
      <c r="F106" s="24">
        <v>0.30953917056170199</v>
      </c>
      <c r="G106" s="33">
        <v>45058</v>
      </c>
      <c r="H106" s="24">
        <v>0.66043948995340296</v>
      </c>
      <c r="I106" s="20"/>
    </row>
    <row r="107" spans="1:9" ht="14.4">
      <c r="A107" s="21" t="s">
        <v>151</v>
      </c>
      <c r="B107" s="22" t="s">
        <v>61</v>
      </c>
      <c r="C107" s="23" t="s">
        <v>62</v>
      </c>
      <c r="D107" s="33">
        <v>44422</v>
      </c>
      <c r="E107" s="24">
        <v>10</v>
      </c>
      <c r="F107" s="24">
        <v>0.62147829765565299</v>
      </c>
      <c r="G107" s="33">
        <v>45045</v>
      </c>
      <c r="H107" s="24">
        <v>0.44466276095616802</v>
      </c>
      <c r="I107" s="20"/>
    </row>
    <row r="108" spans="1:9" ht="14.4">
      <c r="A108" s="21" t="s">
        <v>152</v>
      </c>
      <c r="B108" s="22" t="s">
        <v>58</v>
      </c>
      <c r="C108" s="23" t="s">
        <v>59</v>
      </c>
      <c r="D108" s="33">
        <v>44903</v>
      </c>
      <c r="E108" s="24">
        <v>7</v>
      </c>
      <c r="F108" s="24">
        <v>0.60752716500644899</v>
      </c>
      <c r="G108" s="33">
        <v>45029</v>
      </c>
      <c r="H108" s="24">
        <v>0.90286839870973001</v>
      </c>
      <c r="I108" s="20"/>
    </row>
    <row r="109" spans="1:9" ht="14.4">
      <c r="A109" s="21" t="s">
        <v>153</v>
      </c>
      <c r="B109" s="22" t="s">
        <v>46</v>
      </c>
      <c r="C109" s="23" t="s">
        <v>47</v>
      </c>
      <c r="D109" s="33">
        <v>44810</v>
      </c>
      <c r="E109" s="24">
        <v>10</v>
      </c>
      <c r="F109" s="24">
        <v>8.0126723415399101E-2</v>
      </c>
      <c r="G109" s="33">
        <v>44973</v>
      </c>
      <c r="H109" s="24">
        <v>0.51635999068168204</v>
      </c>
      <c r="I109" s="20"/>
    </row>
    <row r="110" spans="1:9" ht="14.4">
      <c r="A110" s="21" t="s">
        <v>154</v>
      </c>
      <c r="B110" s="22" t="s">
        <v>21</v>
      </c>
      <c r="C110" s="23" t="s">
        <v>22</v>
      </c>
      <c r="D110" s="33">
        <v>44716</v>
      </c>
      <c r="E110" s="24">
        <v>1</v>
      </c>
      <c r="F110" s="24">
        <v>0.165768699711766</v>
      </c>
      <c r="G110" s="33">
        <v>44958</v>
      </c>
      <c r="H110" s="24">
        <v>0.35219920122081899</v>
      </c>
      <c r="I110" s="20"/>
    </row>
    <row r="111" spans="1:9" ht="14.4">
      <c r="A111" s="21" t="s">
        <v>155</v>
      </c>
      <c r="B111" s="22" t="s">
        <v>58</v>
      </c>
      <c r="C111" s="23" t="s">
        <v>59</v>
      </c>
      <c r="D111" s="33">
        <v>44276</v>
      </c>
      <c r="E111" s="24">
        <v>7</v>
      </c>
      <c r="F111" s="24">
        <v>0.95038285910889397</v>
      </c>
      <c r="G111" s="33">
        <v>45067</v>
      </c>
      <c r="H111" s="24">
        <v>0.493774747227402</v>
      </c>
      <c r="I111" s="20"/>
    </row>
    <row r="112" spans="1:9" ht="14.4">
      <c r="A112" s="21" t="s">
        <v>156</v>
      </c>
      <c r="B112" s="22" t="s">
        <v>17</v>
      </c>
      <c r="C112" s="23" t="s">
        <v>18</v>
      </c>
      <c r="D112" s="33">
        <v>44709</v>
      </c>
      <c r="E112" s="24">
        <v>8</v>
      </c>
      <c r="F112" s="24">
        <v>0.34324624551472199</v>
      </c>
      <c r="G112" s="33">
        <v>44980</v>
      </c>
      <c r="H112" s="24">
        <v>5.5941217861464797E-2</v>
      </c>
      <c r="I112" s="20"/>
    </row>
    <row r="113" spans="1:9" ht="14.4">
      <c r="A113" s="21" t="s">
        <v>157</v>
      </c>
      <c r="B113" s="22" t="s">
        <v>58</v>
      </c>
      <c r="C113" s="23" t="s">
        <v>59</v>
      </c>
      <c r="D113" s="33">
        <v>44907</v>
      </c>
      <c r="E113" s="24">
        <v>9</v>
      </c>
      <c r="F113" s="24">
        <v>0.88394112549340798</v>
      </c>
      <c r="G113" s="33">
        <v>44949</v>
      </c>
      <c r="H113" s="24">
        <v>0.170650898099275</v>
      </c>
      <c r="I113" s="20"/>
    </row>
    <row r="114" spans="1:9" ht="14.4">
      <c r="A114" s="21" t="s">
        <v>158</v>
      </c>
      <c r="B114" s="22" t="s">
        <v>12</v>
      </c>
      <c r="C114" s="23" t="s">
        <v>13</v>
      </c>
      <c r="D114" s="33">
        <v>44578</v>
      </c>
      <c r="E114" s="24">
        <v>2</v>
      </c>
      <c r="F114" s="24">
        <v>0.19124266932346201</v>
      </c>
      <c r="G114" s="33">
        <v>44953</v>
      </c>
      <c r="H114" s="24">
        <v>0.44988838372928502</v>
      </c>
      <c r="I114" s="20"/>
    </row>
    <row r="115" spans="1:9" ht="14.4">
      <c r="A115" s="21" t="s">
        <v>159</v>
      </c>
      <c r="B115" s="22" t="s">
        <v>43</v>
      </c>
      <c r="C115" s="23" t="s">
        <v>44</v>
      </c>
      <c r="D115" s="33">
        <v>44324</v>
      </c>
      <c r="E115" s="24">
        <v>9</v>
      </c>
      <c r="F115" s="24">
        <v>0.70237024955138705</v>
      </c>
      <c r="G115" s="33">
        <v>45039</v>
      </c>
      <c r="H115" s="24">
        <v>0.23474526869976101</v>
      </c>
      <c r="I115" s="20"/>
    </row>
    <row r="116" spans="1:9" ht="14.4">
      <c r="A116" s="21" t="s">
        <v>160</v>
      </c>
      <c r="B116" s="22" t="s">
        <v>24</v>
      </c>
      <c r="C116" s="23" t="s">
        <v>25</v>
      </c>
      <c r="D116" s="33">
        <v>44464</v>
      </c>
      <c r="E116" s="24">
        <v>1</v>
      </c>
      <c r="F116" s="24">
        <v>0.47664293083306503</v>
      </c>
      <c r="G116" s="33">
        <v>44998</v>
      </c>
      <c r="H116" s="24">
        <v>0.23032087534575099</v>
      </c>
      <c r="I116" s="20"/>
    </row>
    <row r="117" spans="1:9" ht="14.4">
      <c r="A117" s="21" t="s">
        <v>161</v>
      </c>
      <c r="B117" s="22" t="s">
        <v>61</v>
      </c>
      <c r="C117" s="23" t="s">
        <v>62</v>
      </c>
      <c r="D117" s="33">
        <v>44581</v>
      </c>
      <c r="E117" s="24">
        <v>8</v>
      </c>
      <c r="F117" s="24">
        <v>0.52894618812607497</v>
      </c>
      <c r="G117" s="33">
        <v>44998</v>
      </c>
      <c r="H117" s="24">
        <v>0.14894391596640999</v>
      </c>
      <c r="I117" s="20"/>
    </row>
    <row r="118" spans="1:9" ht="14.4">
      <c r="A118" s="21" t="s">
        <v>162</v>
      </c>
      <c r="B118" s="22" t="s">
        <v>103</v>
      </c>
      <c r="C118" s="23" t="s">
        <v>104</v>
      </c>
      <c r="D118" s="33">
        <v>44595</v>
      </c>
      <c r="E118" s="24">
        <v>1</v>
      </c>
      <c r="F118" s="24">
        <v>0.90771622925444195</v>
      </c>
      <c r="G118" s="33">
        <v>44956</v>
      </c>
      <c r="H118" s="24">
        <v>0.76439006848756197</v>
      </c>
      <c r="I118" s="20"/>
    </row>
    <row r="119" spans="1:9" ht="14.4">
      <c r="A119" s="21" t="s">
        <v>163</v>
      </c>
      <c r="B119" s="22" t="s">
        <v>54</v>
      </c>
      <c r="C119" s="23" t="s">
        <v>55</v>
      </c>
      <c r="D119" s="33">
        <v>44625</v>
      </c>
      <c r="E119" s="24">
        <v>4</v>
      </c>
      <c r="F119" s="24">
        <v>0.93532778717298004</v>
      </c>
      <c r="G119" s="33">
        <v>44933</v>
      </c>
      <c r="H119" s="24">
        <v>2.9378328012187802E-2</v>
      </c>
      <c r="I119" s="20"/>
    </row>
    <row r="120" spans="1:9" ht="14.4">
      <c r="A120" s="21" t="s">
        <v>164</v>
      </c>
      <c r="B120" s="22" t="s">
        <v>9</v>
      </c>
      <c r="C120" s="23" t="s">
        <v>10</v>
      </c>
      <c r="D120" s="33">
        <v>44801</v>
      </c>
      <c r="E120" s="24">
        <v>6</v>
      </c>
      <c r="F120" s="24">
        <v>0.103932010083317</v>
      </c>
      <c r="G120" s="33">
        <v>44985</v>
      </c>
      <c r="H120" s="25">
        <v>6.0761804468123501E-5</v>
      </c>
      <c r="I120" s="20"/>
    </row>
    <row r="121" spans="1:9" ht="14.4">
      <c r="A121" s="21" t="s">
        <v>165</v>
      </c>
      <c r="B121" s="22" t="s">
        <v>15</v>
      </c>
      <c r="C121" s="23" t="s">
        <v>10</v>
      </c>
      <c r="D121" s="33">
        <v>44589</v>
      </c>
      <c r="E121" s="24">
        <v>3</v>
      </c>
      <c r="F121" s="24">
        <v>0.33696098865178298</v>
      </c>
      <c r="G121" s="33">
        <v>45034</v>
      </c>
      <c r="H121" s="24">
        <v>0.68587611661549097</v>
      </c>
      <c r="I121" s="20"/>
    </row>
    <row r="122" spans="1:9" ht="14.4">
      <c r="A122" s="21" t="s">
        <v>166</v>
      </c>
      <c r="B122" s="22" t="s">
        <v>46</v>
      </c>
      <c r="C122" s="23" t="s">
        <v>47</v>
      </c>
      <c r="D122" s="33">
        <v>44733</v>
      </c>
      <c r="E122" s="24">
        <v>9</v>
      </c>
      <c r="F122" s="24">
        <v>0.32825674154548301</v>
      </c>
      <c r="G122" s="33">
        <v>44981</v>
      </c>
      <c r="H122" s="24">
        <v>0.48045519677837101</v>
      </c>
      <c r="I122" s="20"/>
    </row>
    <row r="123" spans="1:9" ht="14.4">
      <c r="A123" s="21" t="s">
        <v>167</v>
      </c>
      <c r="B123" s="22" t="s">
        <v>17</v>
      </c>
      <c r="C123" s="23" t="s">
        <v>18</v>
      </c>
      <c r="D123" s="33">
        <v>44879</v>
      </c>
      <c r="E123" s="24">
        <v>10</v>
      </c>
      <c r="F123" s="24">
        <v>0.47307005712237998</v>
      </c>
      <c r="G123" s="33">
        <v>44937</v>
      </c>
      <c r="H123" s="24">
        <v>0.10169187940690801</v>
      </c>
      <c r="I123" s="20"/>
    </row>
    <row r="124" spans="1:9" ht="14.4">
      <c r="A124" s="21" t="s">
        <v>168</v>
      </c>
      <c r="B124" s="22" t="s">
        <v>34</v>
      </c>
      <c r="C124" s="23" t="s">
        <v>35</v>
      </c>
      <c r="D124" s="33">
        <v>44371</v>
      </c>
      <c r="E124" s="24">
        <v>9</v>
      </c>
      <c r="F124" s="24">
        <v>0.71248835178386805</v>
      </c>
      <c r="G124" s="33">
        <v>44975</v>
      </c>
      <c r="H124" s="24">
        <v>0.42914106932160101</v>
      </c>
      <c r="I124" s="20"/>
    </row>
    <row r="125" spans="1:9" ht="14.4">
      <c r="A125" s="21" t="s">
        <v>169</v>
      </c>
      <c r="B125" s="22" t="s">
        <v>27</v>
      </c>
      <c r="C125" s="23" t="s">
        <v>28</v>
      </c>
      <c r="D125" s="33">
        <v>44792</v>
      </c>
      <c r="E125" s="24">
        <v>1</v>
      </c>
      <c r="F125" s="24">
        <v>0.87147093954098998</v>
      </c>
      <c r="G125" s="33">
        <v>44967</v>
      </c>
      <c r="H125" s="24">
        <v>0.35443622359295701</v>
      </c>
      <c r="I125" s="20"/>
    </row>
    <row r="126" spans="1:9" ht="14.4">
      <c r="A126" s="21" t="s">
        <v>170</v>
      </c>
      <c r="B126" s="22" t="s">
        <v>12</v>
      </c>
      <c r="C126" s="23" t="s">
        <v>13</v>
      </c>
      <c r="D126" s="33">
        <v>44272</v>
      </c>
      <c r="E126" s="24">
        <v>6</v>
      </c>
      <c r="F126" s="24">
        <v>5.4464754581670202E-2</v>
      </c>
      <c r="G126" s="33">
        <v>45013</v>
      </c>
      <c r="H126" s="24">
        <v>0.49434155447053002</v>
      </c>
      <c r="I126" s="20"/>
    </row>
    <row r="127" spans="1:9" ht="14.4">
      <c r="A127" s="21" t="s">
        <v>171</v>
      </c>
      <c r="B127" s="22" t="s">
        <v>103</v>
      </c>
      <c r="C127" s="23" t="s">
        <v>104</v>
      </c>
      <c r="D127" s="33">
        <v>44886</v>
      </c>
      <c r="E127" s="24">
        <v>8</v>
      </c>
      <c r="F127" s="24">
        <v>0.46539821567982897</v>
      </c>
      <c r="G127" s="33">
        <v>45038</v>
      </c>
      <c r="H127" s="24">
        <v>0.39766402949830199</v>
      </c>
      <c r="I127" s="20"/>
    </row>
    <row r="128" spans="1:9" ht="14.4">
      <c r="A128" s="21" t="s">
        <v>172</v>
      </c>
      <c r="B128" s="22" t="s">
        <v>58</v>
      </c>
      <c r="C128" s="23" t="s">
        <v>59</v>
      </c>
      <c r="D128" s="33">
        <v>44380</v>
      </c>
      <c r="E128" s="24">
        <v>2</v>
      </c>
      <c r="F128" s="24">
        <v>0.41769016811982401</v>
      </c>
      <c r="G128" s="33">
        <v>44990</v>
      </c>
      <c r="H128" s="24">
        <v>0.67060305745283799</v>
      </c>
      <c r="I128" s="20"/>
    </row>
    <row r="129" spans="1:9" ht="14.4">
      <c r="A129" s="21" t="s">
        <v>173</v>
      </c>
      <c r="B129" s="22" t="s">
        <v>46</v>
      </c>
      <c r="C129" s="23" t="s">
        <v>47</v>
      </c>
      <c r="D129" s="33">
        <v>44661</v>
      </c>
      <c r="E129" s="24">
        <v>5</v>
      </c>
      <c r="F129" s="24">
        <v>0.90898321519765801</v>
      </c>
      <c r="G129" s="33">
        <v>45067</v>
      </c>
      <c r="H129" s="24">
        <v>0.71076510162728801</v>
      </c>
      <c r="I129" s="20"/>
    </row>
    <row r="130" spans="1:9" ht="14.4">
      <c r="A130" s="21" t="s">
        <v>174</v>
      </c>
      <c r="B130" s="22" t="s">
        <v>103</v>
      </c>
      <c r="C130" s="23" t="s">
        <v>104</v>
      </c>
      <c r="D130" s="33">
        <v>44297</v>
      </c>
      <c r="E130" s="24">
        <v>2</v>
      </c>
      <c r="F130" s="24">
        <v>2.2277472344418001E-2</v>
      </c>
      <c r="G130" s="33">
        <v>45053</v>
      </c>
      <c r="H130" s="24">
        <v>0.31572522679826798</v>
      </c>
      <c r="I130" s="20"/>
    </row>
    <row r="131" spans="1:9" ht="14.4">
      <c r="A131" s="21" t="s">
        <v>175</v>
      </c>
      <c r="B131" s="22" t="s">
        <v>15</v>
      </c>
      <c r="C131" s="23" t="s">
        <v>10</v>
      </c>
      <c r="D131" s="33">
        <v>44223</v>
      </c>
      <c r="E131" s="24">
        <v>10</v>
      </c>
      <c r="F131" s="24">
        <v>4.84656763549157E-2</v>
      </c>
      <c r="G131" s="33">
        <v>45041</v>
      </c>
      <c r="H131" s="24">
        <v>0.76568330987062005</v>
      </c>
      <c r="I131" s="20"/>
    </row>
    <row r="132" spans="1:9" ht="14.4">
      <c r="A132" s="21" t="s">
        <v>176</v>
      </c>
      <c r="B132" s="22" t="s">
        <v>73</v>
      </c>
      <c r="C132" s="23" t="s">
        <v>74</v>
      </c>
      <c r="D132" s="33">
        <v>44616</v>
      </c>
      <c r="E132" s="24">
        <v>10</v>
      </c>
      <c r="F132" s="24">
        <v>0.29076178482231801</v>
      </c>
      <c r="G132" s="33">
        <v>44945</v>
      </c>
      <c r="H132" s="24">
        <v>0.33143123502147698</v>
      </c>
      <c r="I132" s="20"/>
    </row>
    <row r="133" spans="1:9" ht="14.4">
      <c r="A133" s="21" t="s">
        <v>177</v>
      </c>
      <c r="B133" s="22" t="s">
        <v>81</v>
      </c>
      <c r="C133" s="23" t="s">
        <v>62</v>
      </c>
      <c r="D133" s="33">
        <v>44398</v>
      </c>
      <c r="E133" s="24">
        <v>6</v>
      </c>
      <c r="F133" s="24">
        <v>0.74483031602755301</v>
      </c>
      <c r="G133" s="33">
        <v>45067</v>
      </c>
      <c r="H133" s="24">
        <v>0.45618689536000101</v>
      </c>
      <c r="I133" s="20"/>
    </row>
    <row r="134" spans="1:9" ht="14.4">
      <c r="A134" s="21" t="s">
        <v>178</v>
      </c>
      <c r="B134" s="22" t="s">
        <v>30</v>
      </c>
      <c r="C134" s="23" t="s">
        <v>31</v>
      </c>
      <c r="D134" s="33">
        <v>44244</v>
      </c>
      <c r="E134" s="24">
        <v>2</v>
      </c>
      <c r="F134" s="24">
        <v>0.55145811024395297</v>
      </c>
      <c r="G134" s="33">
        <v>44938</v>
      </c>
      <c r="H134" s="24">
        <v>0.43942741221319298</v>
      </c>
      <c r="I134" s="20"/>
    </row>
    <row r="135" spans="1:9" ht="14.4">
      <c r="A135" s="21" t="s">
        <v>179</v>
      </c>
      <c r="B135" s="22" t="s">
        <v>34</v>
      </c>
      <c r="C135" s="23" t="s">
        <v>35</v>
      </c>
      <c r="D135" s="33">
        <v>44715</v>
      </c>
      <c r="E135" s="24">
        <v>2</v>
      </c>
      <c r="F135" s="24">
        <v>0.75204781971908696</v>
      </c>
      <c r="G135" s="33">
        <v>45016</v>
      </c>
      <c r="H135" s="24">
        <v>0.46296822834011098</v>
      </c>
      <c r="I135" s="20"/>
    </row>
    <row r="136" spans="1:9" ht="14.4">
      <c r="A136" s="21" t="s">
        <v>180</v>
      </c>
      <c r="B136" s="22" t="s">
        <v>61</v>
      </c>
      <c r="C136" s="23" t="s">
        <v>62</v>
      </c>
      <c r="D136" s="33">
        <v>44225</v>
      </c>
      <c r="E136" s="24">
        <v>7</v>
      </c>
      <c r="F136" s="24">
        <v>0.47691846634392299</v>
      </c>
      <c r="G136" s="33">
        <v>44981</v>
      </c>
      <c r="H136" s="24">
        <v>0.46204966570717498</v>
      </c>
      <c r="I136" s="20"/>
    </row>
    <row r="137" spans="1:9" ht="14.4">
      <c r="A137" s="21" t="s">
        <v>181</v>
      </c>
      <c r="B137" s="22" t="s">
        <v>129</v>
      </c>
      <c r="C137" s="23" t="s">
        <v>22</v>
      </c>
      <c r="D137" s="33">
        <v>44442</v>
      </c>
      <c r="E137" s="24">
        <v>9</v>
      </c>
      <c r="F137" s="24">
        <v>0.351563700735118</v>
      </c>
      <c r="G137" s="33">
        <v>45023</v>
      </c>
      <c r="H137" s="24">
        <v>0.95442216883254405</v>
      </c>
      <c r="I137" s="20"/>
    </row>
    <row r="138" spans="1:9" ht="14.4">
      <c r="A138" s="21" t="s">
        <v>182</v>
      </c>
      <c r="B138" s="22" t="s">
        <v>34</v>
      </c>
      <c r="C138" s="23" t="s">
        <v>35</v>
      </c>
      <c r="D138" s="33">
        <v>44878</v>
      </c>
      <c r="E138" s="24">
        <v>3</v>
      </c>
      <c r="F138" s="24">
        <v>0.708252824575899</v>
      </c>
      <c r="G138" s="33">
        <v>45047</v>
      </c>
      <c r="H138" s="24">
        <v>0.25743349659995701</v>
      </c>
      <c r="I138" s="20"/>
    </row>
    <row r="139" spans="1:9" ht="14.4">
      <c r="A139" s="21" t="s">
        <v>183</v>
      </c>
      <c r="B139" s="22" t="s">
        <v>54</v>
      </c>
      <c r="C139" s="23" t="s">
        <v>55</v>
      </c>
      <c r="D139" s="33">
        <v>44535</v>
      </c>
      <c r="E139" s="24">
        <v>6</v>
      </c>
      <c r="F139" s="24">
        <v>8.1168066351901699E-2</v>
      </c>
      <c r="G139" s="33">
        <v>45004</v>
      </c>
      <c r="H139" s="24">
        <v>0.51544985308443603</v>
      </c>
      <c r="I139" s="20"/>
    </row>
    <row r="140" spans="1:9" ht="14.4">
      <c r="A140" s="21" t="s">
        <v>184</v>
      </c>
      <c r="B140" s="22" t="s">
        <v>73</v>
      </c>
      <c r="C140" s="23" t="s">
        <v>74</v>
      </c>
      <c r="D140" s="33">
        <v>44815</v>
      </c>
      <c r="E140" s="24">
        <v>3</v>
      </c>
      <c r="F140" s="24">
        <v>0.44727279397540398</v>
      </c>
      <c r="G140" s="33">
        <v>44961</v>
      </c>
      <c r="H140" s="24">
        <v>0.72124646028638995</v>
      </c>
      <c r="I140" s="20"/>
    </row>
    <row r="141" spans="1:9" ht="14.4">
      <c r="A141" s="21" t="s">
        <v>185</v>
      </c>
      <c r="B141" s="22" t="s">
        <v>30</v>
      </c>
      <c r="C141" s="23" t="s">
        <v>31</v>
      </c>
      <c r="D141" s="33">
        <v>44690</v>
      </c>
      <c r="E141" s="24">
        <v>5</v>
      </c>
      <c r="F141" s="24">
        <v>0.55996144918041602</v>
      </c>
      <c r="G141" s="33">
        <v>44982</v>
      </c>
      <c r="H141" s="24">
        <v>4.0845294204603297E-3</v>
      </c>
      <c r="I141" s="20"/>
    </row>
    <row r="142" spans="1:9" ht="14.4">
      <c r="A142" s="21" t="s">
        <v>186</v>
      </c>
      <c r="B142" s="22" t="s">
        <v>129</v>
      </c>
      <c r="C142" s="23" t="s">
        <v>22</v>
      </c>
      <c r="D142" s="33">
        <v>44521</v>
      </c>
      <c r="E142" s="24">
        <v>4</v>
      </c>
      <c r="F142" s="24">
        <v>0.56230632063577901</v>
      </c>
      <c r="G142" s="33">
        <v>45060</v>
      </c>
      <c r="H142" s="24">
        <v>0.68743114384612203</v>
      </c>
      <c r="I142" s="20"/>
    </row>
    <row r="143" spans="1:9" ht="14.4">
      <c r="A143" s="21" t="s">
        <v>187</v>
      </c>
      <c r="B143" s="22" t="s">
        <v>30</v>
      </c>
      <c r="C143" s="23" t="s">
        <v>31</v>
      </c>
      <c r="D143" s="33">
        <v>44769</v>
      </c>
      <c r="E143" s="24">
        <v>5</v>
      </c>
      <c r="F143" s="24">
        <v>0.72618042932337601</v>
      </c>
      <c r="G143" s="33">
        <v>45013</v>
      </c>
      <c r="H143" s="24">
        <v>0.31138195774945998</v>
      </c>
      <c r="I143" s="20"/>
    </row>
    <row r="144" spans="1:9" ht="14.4">
      <c r="A144" s="21" t="s">
        <v>188</v>
      </c>
      <c r="B144" s="22" t="s">
        <v>71</v>
      </c>
      <c r="C144" s="23" t="s">
        <v>50</v>
      </c>
      <c r="D144" s="33">
        <v>44206</v>
      </c>
      <c r="E144" s="24">
        <v>3</v>
      </c>
      <c r="F144" s="24">
        <v>0.113699112632604</v>
      </c>
      <c r="G144" s="33">
        <v>45012</v>
      </c>
      <c r="H144" s="24">
        <v>3.0869795040312301E-2</v>
      </c>
      <c r="I144" s="20"/>
    </row>
    <row r="145" spans="1:9" ht="14.4">
      <c r="A145" s="21" t="s">
        <v>189</v>
      </c>
      <c r="B145" s="22" t="s">
        <v>129</v>
      </c>
      <c r="C145" s="23" t="s">
        <v>22</v>
      </c>
      <c r="D145" s="33">
        <v>44822</v>
      </c>
      <c r="E145" s="24">
        <v>1</v>
      </c>
      <c r="F145" s="24">
        <v>8.6409222229514596E-2</v>
      </c>
      <c r="G145" s="33">
        <v>44945</v>
      </c>
      <c r="H145" s="24">
        <v>0.720395287309052</v>
      </c>
      <c r="I145" s="20"/>
    </row>
    <row r="146" spans="1:9" ht="14.4">
      <c r="A146" s="21" t="s">
        <v>190</v>
      </c>
      <c r="B146" s="22" t="s">
        <v>71</v>
      </c>
      <c r="C146" s="23" t="s">
        <v>50</v>
      </c>
      <c r="D146" s="33">
        <v>44484</v>
      </c>
      <c r="E146" s="24">
        <v>4</v>
      </c>
      <c r="F146" s="24">
        <v>0.573839853564304</v>
      </c>
      <c r="G146" s="33">
        <v>45050</v>
      </c>
      <c r="H146" s="24">
        <v>0.74143260510805697</v>
      </c>
      <c r="I146" s="20"/>
    </row>
    <row r="147" spans="1:9" ht="14.4">
      <c r="A147" s="21" t="s">
        <v>191</v>
      </c>
      <c r="B147" s="22" t="s">
        <v>27</v>
      </c>
      <c r="C147" s="23" t="s">
        <v>28</v>
      </c>
      <c r="D147" s="33">
        <v>44734</v>
      </c>
      <c r="E147" s="24">
        <v>10</v>
      </c>
      <c r="F147" s="24">
        <v>5.8312359538940997E-2</v>
      </c>
      <c r="G147" s="33">
        <v>45041</v>
      </c>
      <c r="H147" s="24">
        <v>0.50418526458823998</v>
      </c>
      <c r="I147" s="20"/>
    </row>
    <row r="148" spans="1:9" ht="14.4">
      <c r="A148" s="21" t="s">
        <v>192</v>
      </c>
      <c r="B148" s="22" t="s">
        <v>54</v>
      </c>
      <c r="C148" s="23" t="s">
        <v>55</v>
      </c>
      <c r="D148" s="33">
        <v>44480</v>
      </c>
      <c r="E148" s="24">
        <v>7</v>
      </c>
      <c r="F148" s="24">
        <v>0.717702757066082</v>
      </c>
      <c r="G148" s="33">
        <v>44936</v>
      </c>
      <c r="H148" s="24">
        <v>0.1182538345041</v>
      </c>
      <c r="I148" s="20"/>
    </row>
    <row r="149" spans="1:9" ht="14.4">
      <c r="A149" s="21" t="s">
        <v>193</v>
      </c>
      <c r="B149" s="22" t="s">
        <v>24</v>
      </c>
      <c r="C149" s="23" t="s">
        <v>25</v>
      </c>
      <c r="D149" s="33">
        <v>44534</v>
      </c>
      <c r="E149" s="24">
        <v>1</v>
      </c>
      <c r="F149" s="24">
        <v>0.29181649358212502</v>
      </c>
      <c r="G149" s="33">
        <v>44944</v>
      </c>
      <c r="H149" s="24">
        <v>0.59525600260086198</v>
      </c>
      <c r="I149" s="20"/>
    </row>
    <row r="150" spans="1:9" ht="14.4">
      <c r="A150" s="21" t="s">
        <v>194</v>
      </c>
      <c r="B150" s="22" t="s">
        <v>58</v>
      </c>
      <c r="C150" s="23" t="s">
        <v>59</v>
      </c>
      <c r="D150" s="33">
        <v>44616</v>
      </c>
      <c r="E150" s="24">
        <v>7</v>
      </c>
      <c r="F150" s="24">
        <v>0.41475447056245102</v>
      </c>
      <c r="G150" s="33">
        <v>44992</v>
      </c>
      <c r="H150" s="24">
        <v>0.41302964862980401</v>
      </c>
      <c r="I150" s="20"/>
    </row>
    <row r="151" spans="1:9" ht="14.4">
      <c r="A151" s="21" t="s">
        <v>195</v>
      </c>
      <c r="B151" s="22" t="s">
        <v>12</v>
      </c>
      <c r="C151" s="23" t="s">
        <v>13</v>
      </c>
      <c r="D151" s="33">
        <v>44766</v>
      </c>
      <c r="E151" s="24">
        <v>3</v>
      </c>
      <c r="F151" s="24">
        <v>0.273622029983696</v>
      </c>
      <c r="G151" s="33">
        <v>45026</v>
      </c>
      <c r="H151" s="24">
        <v>0.28004873586635498</v>
      </c>
      <c r="I151" s="20"/>
    </row>
    <row r="152" spans="1:9" ht="14.4">
      <c r="A152" s="21" t="s">
        <v>196</v>
      </c>
      <c r="B152" s="22" t="s">
        <v>103</v>
      </c>
      <c r="C152" s="23" t="s">
        <v>104</v>
      </c>
      <c r="D152" s="33">
        <v>44857</v>
      </c>
      <c r="E152" s="24">
        <v>5</v>
      </c>
      <c r="F152" s="24">
        <v>0.36944159210677702</v>
      </c>
      <c r="G152" s="33">
        <v>44944</v>
      </c>
      <c r="H152" s="24">
        <v>0.83598479662907399</v>
      </c>
      <c r="I152" s="20"/>
    </row>
    <row r="153" spans="1:9" ht="14.4">
      <c r="A153" s="21" t="s">
        <v>197</v>
      </c>
      <c r="B153" s="22" t="s">
        <v>103</v>
      </c>
      <c r="C153" s="23" t="s">
        <v>104</v>
      </c>
      <c r="D153" s="33">
        <v>44607</v>
      </c>
      <c r="E153" s="24">
        <v>1</v>
      </c>
      <c r="F153" s="24">
        <v>0.58311714000128001</v>
      </c>
      <c r="G153" s="33">
        <v>44986</v>
      </c>
      <c r="H153" s="24">
        <v>0.132094119226041</v>
      </c>
      <c r="I153" s="20"/>
    </row>
    <row r="154" spans="1:9" ht="14.4">
      <c r="A154" s="21" t="s">
        <v>198</v>
      </c>
      <c r="B154" s="22" t="s">
        <v>34</v>
      </c>
      <c r="C154" s="23" t="s">
        <v>35</v>
      </c>
      <c r="D154" s="33">
        <v>44312</v>
      </c>
      <c r="E154" s="24">
        <v>6</v>
      </c>
      <c r="F154" s="24">
        <v>0.65300297719761102</v>
      </c>
      <c r="G154" s="33">
        <v>45013</v>
      </c>
      <c r="H154" s="24">
        <v>0.67542025364515701</v>
      </c>
      <c r="I154" s="20"/>
    </row>
    <row r="155" spans="1:9" ht="14.4">
      <c r="A155" s="21" t="s">
        <v>199</v>
      </c>
      <c r="B155" s="22" t="s">
        <v>71</v>
      </c>
      <c r="C155" s="23" t="s">
        <v>50</v>
      </c>
      <c r="D155" s="33">
        <v>44684</v>
      </c>
      <c r="E155" s="24">
        <v>8</v>
      </c>
      <c r="F155" s="24">
        <v>0.29111039384551202</v>
      </c>
      <c r="G155" s="33">
        <v>45003</v>
      </c>
      <c r="H155" s="24">
        <v>0.67736656660512595</v>
      </c>
      <c r="I155" s="20"/>
    </row>
    <row r="156" spans="1:9" ht="14.4">
      <c r="A156" s="21" t="s">
        <v>200</v>
      </c>
      <c r="B156" s="22" t="s">
        <v>71</v>
      </c>
      <c r="C156" s="23" t="s">
        <v>50</v>
      </c>
      <c r="D156" s="33">
        <v>44240</v>
      </c>
      <c r="E156" s="24">
        <v>4</v>
      </c>
      <c r="F156" s="24">
        <v>0.112536236136402</v>
      </c>
      <c r="G156" s="33">
        <v>45051</v>
      </c>
      <c r="H156" s="24">
        <v>0.73892418680528005</v>
      </c>
      <c r="I156" s="20"/>
    </row>
    <row r="157" spans="1:9" ht="14.4">
      <c r="A157" s="21" t="s">
        <v>201</v>
      </c>
      <c r="B157" s="22" t="s">
        <v>34</v>
      </c>
      <c r="C157" s="23" t="s">
        <v>35</v>
      </c>
      <c r="D157" s="33">
        <v>44579</v>
      </c>
      <c r="E157" s="24">
        <v>9</v>
      </c>
      <c r="F157" s="24">
        <v>0.15192205963339001</v>
      </c>
      <c r="G157" s="33">
        <v>44999</v>
      </c>
      <c r="H157" s="24">
        <v>0.20150857478536399</v>
      </c>
      <c r="I157" s="20"/>
    </row>
    <row r="158" spans="1:9" ht="14.4">
      <c r="A158" s="21" t="s">
        <v>202</v>
      </c>
      <c r="B158" s="22" t="s">
        <v>103</v>
      </c>
      <c r="C158" s="23" t="s">
        <v>104</v>
      </c>
      <c r="D158" s="33">
        <v>44830</v>
      </c>
      <c r="E158" s="24">
        <v>2</v>
      </c>
      <c r="F158" s="24">
        <v>0.28151547287029699</v>
      </c>
      <c r="G158" s="33">
        <v>44971</v>
      </c>
      <c r="H158" s="24">
        <v>0.112845737208008</v>
      </c>
      <c r="I158" s="20"/>
    </row>
    <row r="159" spans="1:9" ht="14.4">
      <c r="A159" s="21" t="s">
        <v>203</v>
      </c>
      <c r="B159" s="22" t="s">
        <v>9</v>
      </c>
      <c r="C159" s="23" t="s">
        <v>10</v>
      </c>
      <c r="D159" s="33">
        <v>44580</v>
      </c>
      <c r="E159" s="24">
        <v>2</v>
      </c>
      <c r="F159" s="24">
        <v>0.47294292208057698</v>
      </c>
      <c r="G159" s="33">
        <v>45023</v>
      </c>
      <c r="H159" s="24">
        <v>0.79212265204075905</v>
      </c>
      <c r="I159" s="20"/>
    </row>
    <row r="160" spans="1:9" ht="14.4">
      <c r="A160" s="21" t="s">
        <v>204</v>
      </c>
      <c r="B160" s="22" t="s">
        <v>9</v>
      </c>
      <c r="C160" s="23" t="s">
        <v>10</v>
      </c>
      <c r="D160" s="33">
        <v>44605</v>
      </c>
      <c r="E160" s="24">
        <v>2</v>
      </c>
      <c r="F160" s="24">
        <v>0.95827680251471803</v>
      </c>
      <c r="G160" s="33">
        <v>45009</v>
      </c>
      <c r="H160" s="24">
        <v>0.89660265479322399</v>
      </c>
      <c r="I160" s="20"/>
    </row>
    <row r="161" spans="1:9" ht="14.4">
      <c r="A161" s="21" t="s">
        <v>205</v>
      </c>
      <c r="B161" s="22" t="s">
        <v>39</v>
      </c>
      <c r="C161" s="23" t="s">
        <v>40</v>
      </c>
      <c r="D161" s="33">
        <v>44604</v>
      </c>
      <c r="E161" s="24">
        <v>2</v>
      </c>
      <c r="F161" s="24">
        <v>0.27963347908695002</v>
      </c>
      <c r="G161" s="33">
        <v>44949</v>
      </c>
      <c r="H161" s="24">
        <v>0.24854191017697499</v>
      </c>
      <c r="I161" s="20"/>
    </row>
    <row r="162" spans="1:9" ht="14.4">
      <c r="A162" s="21" t="s">
        <v>206</v>
      </c>
      <c r="B162" s="22" t="s">
        <v>61</v>
      </c>
      <c r="C162" s="23" t="s">
        <v>62</v>
      </c>
      <c r="D162" s="33">
        <v>44257</v>
      </c>
      <c r="E162" s="24">
        <v>8</v>
      </c>
      <c r="F162" s="24">
        <v>0.434644149591145</v>
      </c>
      <c r="G162" s="33">
        <v>44955</v>
      </c>
      <c r="H162" s="24">
        <v>0.625342854199327</v>
      </c>
      <c r="I162" s="20"/>
    </row>
    <row r="163" spans="1:9" ht="14.4">
      <c r="A163" s="21" t="s">
        <v>207</v>
      </c>
      <c r="B163" s="22" t="s">
        <v>49</v>
      </c>
      <c r="C163" s="23" t="s">
        <v>50</v>
      </c>
      <c r="D163" s="33">
        <v>44745</v>
      </c>
      <c r="E163" s="24">
        <v>5</v>
      </c>
      <c r="F163" s="24">
        <v>0.74838580953710099</v>
      </c>
      <c r="G163" s="33">
        <v>44980</v>
      </c>
      <c r="H163" s="24">
        <v>0.56239389347784197</v>
      </c>
      <c r="I163" s="20"/>
    </row>
    <row r="164" spans="1:9" ht="14.4">
      <c r="A164" s="21" t="s">
        <v>208</v>
      </c>
      <c r="B164" s="22" t="s">
        <v>30</v>
      </c>
      <c r="C164" s="23" t="s">
        <v>31</v>
      </c>
      <c r="D164" s="33">
        <v>44916</v>
      </c>
      <c r="E164" s="24">
        <v>6</v>
      </c>
      <c r="F164" s="24">
        <v>0.48045901029779903</v>
      </c>
      <c r="G164" s="33">
        <v>45064</v>
      </c>
      <c r="H164" s="24">
        <v>0.433788778732414</v>
      </c>
      <c r="I164" s="20"/>
    </row>
    <row r="165" spans="1:9" ht="14.4">
      <c r="A165" s="21" t="s">
        <v>209</v>
      </c>
      <c r="B165" s="22" t="s">
        <v>58</v>
      </c>
      <c r="C165" s="23" t="s">
        <v>59</v>
      </c>
      <c r="D165" s="33">
        <v>44354</v>
      </c>
      <c r="E165" s="24">
        <v>7</v>
      </c>
      <c r="F165" s="24">
        <v>0.98744929724646802</v>
      </c>
      <c r="G165" s="33">
        <v>45049</v>
      </c>
      <c r="H165" s="24">
        <v>0.21163360381443899</v>
      </c>
      <c r="I165" s="20"/>
    </row>
    <row r="166" spans="1:9" ht="14.4">
      <c r="A166" s="21" t="s">
        <v>210</v>
      </c>
      <c r="B166" s="22" t="s">
        <v>9</v>
      </c>
      <c r="C166" s="23" t="s">
        <v>10</v>
      </c>
      <c r="D166" s="33">
        <v>44711</v>
      </c>
      <c r="E166" s="24">
        <v>3</v>
      </c>
      <c r="F166" s="24">
        <v>5.2479096578398297E-2</v>
      </c>
      <c r="G166" s="33">
        <v>45069</v>
      </c>
      <c r="H166" s="24">
        <v>5.8390055671951401E-2</v>
      </c>
      <c r="I166" s="20"/>
    </row>
    <row r="167" spans="1:9" ht="14.4">
      <c r="A167" s="21" t="s">
        <v>211</v>
      </c>
      <c r="B167" s="22" t="s">
        <v>49</v>
      </c>
      <c r="C167" s="23" t="s">
        <v>50</v>
      </c>
      <c r="D167" s="33">
        <v>44801</v>
      </c>
      <c r="E167" s="24">
        <v>4</v>
      </c>
      <c r="F167" s="24">
        <v>6.3638338964366797E-2</v>
      </c>
      <c r="G167" s="33">
        <v>45014</v>
      </c>
      <c r="H167" s="24">
        <v>0.82222519151117301</v>
      </c>
      <c r="I167" s="20"/>
    </row>
    <row r="168" spans="1:9" ht="14.4">
      <c r="A168" s="21" t="s">
        <v>212</v>
      </c>
      <c r="B168" s="22" t="s">
        <v>21</v>
      </c>
      <c r="C168" s="23" t="s">
        <v>22</v>
      </c>
      <c r="D168" s="33">
        <v>44515</v>
      </c>
      <c r="E168" s="24">
        <v>3</v>
      </c>
      <c r="F168" s="24">
        <v>7.0327700844507193E-2</v>
      </c>
      <c r="G168" s="33">
        <v>44974</v>
      </c>
      <c r="H168" s="24">
        <v>9.4112460113233404E-2</v>
      </c>
      <c r="I168" s="20"/>
    </row>
    <row r="169" spans="1:9" ht="14.4">
      <c r="A169" s="21" t="s">
        <v>213</v>
      </c>
      <c r="B169" s="22" t="s">
        <v>81</v>
      </c>
      <c r="C169" s="23" t="s">
        <v>62</v>
      </c>
      <c r="D169" s="33">
        <v>44897</v>
      </c>
      <c r="E169" s="24">
        <v>3</v>
      </c>
      <c r="F169" s="24">
        <v>0.95057620706778501</v>
      </c>
      <c r="G169" s="33">
        <v>45040</v>
      </c>
      <c r="H169" s="24">
        <v>0.96163422719710601</v>
      </c>
      <c r="I169" s="20"/>
    </row>
    <row r="170" spans="1:9" ht="14.4">
      <c r="A170" s="21" t="s">
        <v>214</v>
      </c>
      <c r="B170" s="22" t="s">
        <v>103</v>
      </c>
      <c r="C170" s="23" t="s">
        <v>104</v>
      </c>
      <c r="D170" s="33">
        <v>44903</v>
      </c>
      <c r="E170" s="24">
        <v>1</v>
      </c>
      <c r="F170" s="24">
        <v>0.48177369539871401</v>
      </c>
      <c r="G170" s="33">
        <v>45046</v>
      </c>
      <c r="H170" s="24">
        <v>0.92834498334210402</v>
      </c>
      <c r="I170" s="20"/>
    </row>
    <row r="171" spans="1:9" ht="14.4">
      <c r="A171" s="21" t="s">
        <v>215</v>
      </c>
      <c r="B171" s="22" t="s">
        <v>54</v>
      </c>
      <c r="C171" s="23" t="s">
        <v>55</v>
      </c>
      <c r="D171" s="33">
        <v>44204</v>
      </c>
      <c r="E171" s="24">
        <v>2</v>
      </c>
      <c r="F171" s="24">
        <v>0.43098053100217298</v>
      </c>
      <c r="G171" s="33">
        <v>44948</v>
      </c>
      <c r="H171" s="24">
        <v>0.43731221847381901</v>
      </c>
      <c r="I171" s="20"/>
    </row>
    <row r="172" spans="1:9" ht="14.4">
      <c r="A172" s="21" t="s">
        <v>216</v>
      </c>
      <c r="B172" s="22" t="s">
        <v>24</v>
      </c>
      <c r="C172" s="23" t="s">
        <v>25</v>
      </c>
      <c r="D172" s="33">
        <v>44439</v>
      </c>
      <c r="E172" s="24">
        <v>8</v>
      </c>
      <c r="F172" s="24">
        <v>0.59735476523394404</v>
      </c>
      <c r="G172" s="33">
        <v>44982</v>
      </c>
      <c r="H172" s="24">
        <v>0.16822758298431501</v>
      </c>
      <c r="I172" s="20"/>
    </row>
    <row r="173" spans="1:9" ht="14.4">
      <c r="A173" s="21" t="s">
        <v>217</v>
      </c>
      <c r="B173" s="22" t="s">
        <v>24</v>
      </c>
      <c r="C173" s="23" t="s">
        <v>25</v>
      </c>
      <c r="D173" s="33">
        <v>44449</v>
      </c>
      <c r="E173" s="24">
        <v>6</v>
      </c>
      <c r="F173" s="24">
        <v>0.26280269378864801</v>
      </c>
      <c r="G173" s="33">
        <v>45014</v>
      </c>
      <c r="H173" s="24">
        <v>0.14823080489066301</v>
      </c>
      <c r="I173" s="20"/>
    </row>
    <row r="174" spans="1:9" ht="14.4">
      <c r="A174" s="21" t="s">
        <v>218</v>
      </c>
      <c r="B174" s="22" t="s">
        <v>49</v>
      </c>
      <c r="C174" s="23" t="s">
        <v>50</v>
      </c>
      <c r="D174" s="33">
        <v>44779</v>
      </c>
      <c r="E174" s="24">
        <v>4</v>
      </c>
      <c r="F174" s="24">
        <v>0.90284110874477896</v>
      </c>
      <c r="G174" s="33">
        <v>45008</v>
      </c>
      <c r="H174" s="24">
        <v>0.63507569454438495</v>
      </c>
      <c r="I174" s="20"/>
    </row>
    <row r="175" spans="1:9" ht="14.4">
      <c r="A175" s="21" t="s">
        <v>219</v>
      </c>
      <c r="B175" s="22" t="s">
        <v>17</v>
      </c>
      <c r="C175" s="23" t="s">
        <v>18</v>
      </c>
      <c r="D175" s="33">
        <v>44241</v>
      </c>
      <c r="E175" s="24">
        <v>6</v>
      </c>
      <c r="F175" s="24">
        <v>0.98199261995326603</v>
      </c>
      <c r="G175" s="33">
        <v>44994</v>
      </c>
      <c r="H175" s="24">
        <v>0.54481123922804697</v>
      </c>
      <c r="I175" s="20"/>
    </row>
    <row r="176" spans="1:9" ht="14.4">
      <c r="A176" s="21" t="s">
        <v>220</v>
      </c>
      <c r="B176" s="22" t="s">
        <v>43</v>
      </c>
      <c r="C176" s="23" t="s">
        <v>44</v>
      </c>
      <c r="D176" s="33">
        <v>44229</v>
      </c>
      <c r="E176" s="24">
        <v>3</v>
      </c>
      <c r="F176" s="24">
        <v>0.84716039463076198</v>
      </c>
      <c r="G176" s="33">
        <v>45067</v>
      </c>
      <c r="H176" s="24">
        <v>1.3086187744415801E-2</v>
      </c>
      <c r="I176" s="20"/>
    </row>
    <row r="177" spans="1:9" ht="14.4">
      <c r="A177" s="21" t="s">
        <v>221</v>
      </c>
      <c r="B177" s="22" t="s">
        <v>129</v>
      </c>
      <c r="C177" s="23" t="s">
        <v>22</v>
      </c>
      <c r="D177" s="33">
        <v>44836</v>
      </c>
      <c r="E177" s="24">
        <v>5</v>
      </c>
      <c r="F177" s="24">
        <v>0.30637569785375002</v>
      </c>
      <c r="G177" s="33">
        <v>45008</v>
      </c>
      <c r="H177" s="24">
        <v>1.25503463839893E-3</v>
      </c>
      <c r="I177" s="20"/>
    </row>
    <row r="178" spans="1:9" ht="14.4">
      <c r="A178" s="21" t="s">
        <v>222</v>
      </c>
      <c r="B178" s="22" t="s">
        <v>49</v>
      </c>
      <c r="C178" s="23" t="s">
        <v>50</v>
      </c>
      <c r="D178" s="33">
        <v>44211</v>
      </c>
      <c r="E178" s="24">
        <v>6</v>
      </c>
      <c r="F178" s="24">
        <v>0.76879912576772802</v>
      </c>
      <c r="G178" s="33">
        <v>45006</v>
      </c>
      <c r="H178" s="24">
        <v>0.86548533755676105</v>
      </c>
      <c r="I178" s="20"/>
    </row>
    <row r="179" spans="1:9" ht="14.4">
      <c r="A179" s="21" t="s">
        <v>223</v>
      </c>
      <c r="B179" s="22" t="s">
        <v>34</v>
      </c>
      <c r="C179" s="23" t="s">
        <v>35</v>
      </c>
      <c r="D179" s="33">
        <v>44514</v>
      </c>
      <c r="E179" s="24">
        <v>7</v>
      </c>
      <c r="F179" s="24">
        <v>0.38563992038543599</v>
      </c>
      <c r="G179" s="33">
        <v>45004</v>
      </c>
      <c r="H179" s="24">
        <v>0.508902669316179</v>
      </c>
      <c r="I179" s="20"/>
    </row>
    <row r="180" spans="1:9" ht="14.4">
      <c r="A180" s="21" t="s">
        <v>224</v>
      </c>
      <c r="B180" s="22" t="s">
        <v>81</v>
      </c>
      <c r="C180" s="23" t="s">
        <v>62</v>
      </c>
      <c r="D180" s="33">
        <v>44309</v>
      </c>
      <c r="E180" s="24">
        <v>8</v>
      </c>
      <c r="F180" s="24">
        <v>0.85335977277591302</v>
      </c>
      <c r="G180" s="33">
        <v>45021</v>
      </c>
      <c r="H180" s="24">
        <v>0.99207281995433205</v>
      </c>
      <c r="I180" s="20"/>
    </row>
    <row r="181" spans="1:9" ht="14.4">
      <c r="A181" s="21" t="s">
        <v>225</v>
      </c>
      <c r="B181" s="22" t="s">
        <v>12</v>
      </c>
      <c r="C181" s="23" t="s">
        <v>13</v>
      </c>
      <c r="D181" s="33">
        <v>44289</v>
      </c>
      <c r="E181" s="24">
        <v>5</v>
      </c>
      <c r="F181" s="24">
        <v>0.28334897654743202</v>
      </c>
      <c r="G181" s="33">
        <v>44965</v>
      </c>
      <c r="H181" s="24">
        <v>0.63454053513977304</v>
      </c>
      <c r="I181" s="20"/>
    </row>
    <row r="182" spans="1:9" ht="14.4">
      <c r="A182" s="21" t="s">
        <v>226</v>
      </c>
      <c r="B182" s="22" t="s">
        <v>81</v>
      </c>
      <c r="C182" s="23" t="s">
        <v>62</v>
      </c>
      <c r="D182" s="33">
        <v>44572</v>
      </c>
      <c r="E182" s="24">
        <v>3</v>
      </c>
      <c r="F182" s="24">
        <v>0.117748642112043</v>
      </c>
      <c r="G182" s="33">
        <v>45073</v>
      </c>
      <c r="H182" s="24">
        <v>0.67092430905617095</v>
      </c>
      <c r="I182" s="20"/>
    </row>
    <row r="183" spans="1:9" ht="14.4">
      <c r="A183" s="21" t="s">
        <v>227</v>
      </c>
      <c r="B183" s="22" t="s">
        <v>39</v>
      </c>
      <c r="C183" s="23" t="s">
        <v>40</v>
      </c>
      <c r="D183" s="33">
        <v>44790</v>
      </c>
      <c r="E183" s="24">
        <v>5</v>
      </c>
      <c r="F183" s="24">
        <v>0.76783916519082696</v>
      </c>
      <c r="G183" s="33">
        <v>45021</v>
      </c>
      <c r="H183" s="24">
        <v>0.24099871039557799</v>
      </c>
      <c r="I183" s="20"/>
    </row>
    <row r="184" spans="1:9" ht="14.4">
      <c r="A184" s="21" t="s">
        <v>228</v>
      </c>
      <c r="B184" s="22" t="s">
        <v>39</v>
      </c>
      <c r="C184" s="23" t="s">
        <v>40</v>
      </c>
      <c r="D184" s="33">
        <v>44766</v>
      </c>
      <c r="E184" s="24">
        <v>2</v>
      </c>
      <c r="F184" s="24">
        <v>0.14806713315151801</v>
      </c>
      <c r="G184" s="33">
        <v>45051</v>
      </c>
      <c r="H184" s="24">
        <v>0.312315972509696</v>
      </c>
      <c r="I184" s="20"/>
    </row>
    <row r="185" spans="1:9" ht="14.4">
      <c r="A185" s="21" t="s">
        <v>229</v>
      </c>
      <c r="B185" s="22" t="s">
        <v>39</v>
      </c>
      <c r="C185" s="23" t="s">
        <v>40</v>
      </c>
      <c r="D185" s="33">
        <v>44577</v>
      </c>
      <c r="E185" s="24">
        <v>7</v>
      </c>
      <c r="F185" s="24">
        <v>7.8885651390256904E-3</v>
      </c>
      <c r="G185" s="33">
        <v>45037</v>
      </c>
      <c r="H185" s="24">
        <v>0.42001946730883299</v>
      </c>
      <c r="I185" s="20"/>
    </row>
    <row r="186" spans="1:9" ht="14.4">
      <c r="A186" s="21" t="s">
        <v>230</v>
      </c>
      <c r="B186" s="22" t="s">
        <v>73</v>
      </c>
      <c r="C186" s="23" t="s">
        <v>74</v>
      </c>
      <c r="D186" s="33">
        <v>44416</v>
      </c>
      <c r="E186" s="24">
        <v>7</v>
      </c>
      <c r="F186" s="24">
        <v>6.5026558074850402E-2</v>
      </c>
      <c r="G186" s="33">
        <v>45005</v>
      </c>
      <c r="H186" s="24">
        <v>0.566596656084567</v>
      </c>
      <c r="I186" s="20"/>
    </row>
    <row r="187" spans="1:9" ht="14.4">
      <c r="A187" s="21" t="s">
        <v>231</v>
      </c>
      <c r="B187" s="22" t="s">
        <v>15</v>
      </c>
      <c r="C187" s="23" t="s">
        <v>10</v>
      </c>
      <c r="D187" s="33">
        <v>44883</v>
      </c>
      <c r="E187" s="24">
        <v>1</v>
      </c>
      <c r="F187" s="24">
        <v>0.30777843623572698</v>
      </c>
      <c r="G187" s="33">
        <v>44963</v>
      </c>
      <c r="H187" s="24">
        <v>0.172453184843159</v>
      </c>
      <c r="I187" s="20"/>
    </row>
    <row r="188" spans="1:9" ht="14.4">
      <c r="A188" s="21" t="s">
        <v>232</v>
      </c>
      <c r="B188" s="22" t="s">
        <v>27</v>
      </c>
      <c r="C188" s="23" t="s">
        <v>28</v>
      </c>
      <c r="D188" s="33">
        <v>44214</v>
      </c>
      <c r="E188" s="24">
        <v>5</v>
      </c>
      <c r="F188" s="24">
        <v>0.1874453216227</v>
      </c>
      <c r="G188" s="33">
        <v>44961</v>
      </c>
      <c r="H188" s="24">
        <v>0.22911064366850301</v>
      </c>
      <c r="I188" s="20"/>
    </row>
    <row r="189" spans="1:9" ht="14.4">
      <c r="A189" s="21" t="s">
        <v>233</v>
      </c>
      <c r="B189" s="22" t="s">
        <v>43</v>
      </c>
      <c r="C189" s="23" t="s">
        <v>44</v>
      </c>
      <c r="D189" s="33">
        <v>44403</v>
      </c>
      <c r="E189" s="24">
        <v>6</v>
      </c>
      <c r="F189" s="24">
        <v>0.83300140406454304</v>
      </c>
      <c r="G189" s="33">
        <v>45026</v>
      </c>
      <c r="H189" s="24">
        <v>0.70242147925557197</v>
      </c>
      <c r="I189" s="20"/>
    </row>
    <row r="190" spans="1:9" ht="14.4">
      <c r="A190" s="21" t="s">
        <v>234</v>
      </c>
      <c r="B190" s="22" t="s">
        <v>34</v>
      </c>
      <c r="C190" s="23" t="s">
        <v>35</v>
      </c>
      <c r="D190" s="33">
        <v>44694</v>
      </c>
      <c r="E190" s="24">
        <v>3</v>
      </c>
      <c r="F190" s="24">
        <v>0.27727516856333601</v>
      </c>
      <c r="G190" s="33">
        <v>45036</v>
      </c>
      <c r="H190" s="24">
        <v>0.34199564672456301</v>
      </c>
      <c r="I190" s="20"/>
    </row>
    <row r="191" spans="1:9" ht="14.4">
      <c r="A191" s="21" t="s">
        <v>235</v>
      </c>
      <c r="B191" s="22" t="s">
        <v>9</v>
      </c>
      <c r="C191" s="23" t="s">
        <v>10</v>
      </c>
      <c r="D191" s="33">
        <v>44199</v>
      </c>
      <c r="E191" s="24">
        <v>2</v>
      </c>
      <c r="F191" s="24">
        <v>0.22356266053190499</v>
      </c>
      <c r="G191" s="33">
        <v>44951</v>
      </c>
      <c r="H191" s="24">
        <v>0.43217504342818902</v>
      </c>
      <c r="I191" s="20"/>
    </row>
    <row r="192" spans="1:9" ht="14.4">
      <c r="A192" s="21" t="s">
        <v>236</v>
      </c>
      <c r="B192" s="22" t="s">
        <v>46</v>
      </c>
      <c r="C192" s="23" t="s">
        <v>47</v>
      </c>
      <c r="D192" s="33">
        <v>44606</v>
      </c>
      <c r="E192" s="24">
        <v>6</v>
      </c>
      <c r="F192" s="24">
        <v>0.64447099494037297</v>
      </c>
      <c r="G192" s="33">
        <v>44975</v>
      </c>
      <c r="H192" s="24">
        <v>0.96567027076396705</v>
      </c>
      <c r="I192" s="20"/>
    </row>
    <row r="193" spans="1:9" ht="14.4">
      <c r="A193" s="21" t="s">
        <v>237</v>
      </c>
      <c r="B193" s="22" t="s">
        <v>49</v>
      </c>
      <c r="C193" s="23" t="s">
        <v>50</v>
      </c>
      <c r="D193" s="33">
        <v>44760</v>
      </c>
      <c r="E193" s="24">
        <v>6</v>
      </c>
      <c r="F193" s="24">
        <v>0.91937449423976403</v>
      </c>
      <c r="G193" s="33">
        <v>44941</v>
      </c>
      <c r="H193" s="24">
        <v>0.80855685548065803</v>
      </c>
      <c r="I193" s="20"/>
    </row>
    <row r="194" spans="1:9" ht="14.4">
      <c r="A194" s="21" t="s">
        <v>238</v>
      </c>
      <c r="B194" s="22" t="s">
        <v>71</v>
      </c>
      <c r="C194" s="23" t="s">
        <v>50</v>
      </c>
      <c r="D194" s="33">
        <v>44391</v>
      </c>
      <c r="E194" s="24">
        <v>1</v>
      </c>
      <c r="F194" s="24">
        <v>0.26377783191771698</v>
      </c>
      <c r="G194" s="33">
        <v>44943</v>
      </c>
      <c r="H194" s="24">
        <v>0.53464391868976202</v>
      </c>
      <c r="I194" s="20"/>
    </row>
    <row r="195" spans="1:9" ht="14.4">
      <c r="A195" s="21" t="s">
        <v>239</v>
      </c>
      <c r="B195" s="22" t="s">
        <v>27</v>
      </c>
      <c r="C195" s="23" t="s">
        <v>28</v>
      </c>
      <c r="D195" s="33">
        <v>44457</v>
      </c>
      <c r="E195" s="24">
        <v>3</v>
      </c>
      <c r="F195" s="24">
        <v>0.48376018648020602</v>
      </c>
      <c r="G195" s="33">
        <v>44983</v>
      </c>
      <c r="H195" s="24">
        <v>0.28976743361438201</v>
      </c>
      <c r="I195" s="20"/>
    </row>
    <row r="196" spans="1:9" ht="14.4">
      <c r="A196" s="21" t="s">
        <v>240</v>
      </c>
      <c r="B196" s="22" t="s">
        <v>58</v>
      </c>
      <c r="C196" s="23" t="s">
        <v>59</v>
      </c>
      <c r="D196" s="33">
        <v>44409</v>
      </c>
      <c r="E196" s="24">
        <v>2</v>
      </c>
      <c r="F196" s="24">
        <v>0.56649641364178105</v>
      </c>
      <c r="G196" s="33">
        <v>44948</v>
      </c>
      <c r="H196" s="24">
        <v>0.76019400248091895</v>
      </c>
      <c r="I196" s="20"/>
    </row>
    <row r="197" spans="1:9" ht="14.4">
      <c r="A197" s="21" t="s">
        <v>241</v>
      </c>
      <c r="B197" s="22" t="s">
        <v>103</v>
      </c>
      <c r="C197" s="23" t="s">
        <v>104</v>
      </c>
      <c r="D197" s="33">
        <v>44229</v>
      </c>
      <c r="E197" s="24">
        <v>10</v>
      </c>
      <c r="F197" s="24">
        <v>0.81758392927810297</v>
      </c>
      <c r="G197" s="33">
        <v>44937</v>
      </c>
      <c r="H197" s="24">
        <v>0.16419798109251399</v>
      </c>
      <c r="I197" s="20"/>
    </row>
    <row r="198" spans="1:9" ht="14.4">
      <c r="A198" s="21" t="s">
        <v>242</v>
      </c>
      <c r="B198" s="22" t="s">
        <v>46</v>
      </c>
      <c r="C198" s="23" t="s">
        <v>47</v>
      </c>
      <c r="D198" s="33">
        <v>44412</v>
      </c>
      <c r="E198" s="24">
        <v>5</v>
      </c>
      <c r="F198" s="24">
        <v>0.24147425161639699</v>
      </c>
      <c r="G198" s="33">
        <v>45005</v>
      </c>
      <c r="H198" s="24">
        <v>0.23302367858983999</v>
      </c>
      <c r="I198" s="20"/>
    </row>
    <row r="199" spans="1:9" ht="14.4">
      <c r="A199" s="21" t="s">
        <v>243</v>
      </c>
      <c r="B199" s="22" t="s">
        <v>58</v>
      </c>
      <c r="C199" s="23" t="s">
        <v>59</v>
      </c>
      <c r="D199" s="33">
        <v>44828</v>
      </c>
      <c r="E199" s="24">
        <v>6</v>
      </c>
      <c r="F199" s="24">
        <v>0.51291771398490105</v>
      </c>
      <c r="G199" s="33">
        <v>44987</v>
      </c>
      <c r="H199" s="24">
        <v>0.755021488484095</v>
      </c>
      <c r="I199" s="20"/>
    </row>
    <row r="200" spans="1:9" ht="14.4">
      <c r="A200" s="21" t="s">
        <v>244</v>
      </c>
      <c r="B200" s="22" t="s">
        <v>73</v>
      </c>
      <c r="C200" s="23" t="s">
        <v>74</v>
      </c>
      <c r="D200" s="33">
        <v>44742</v>
      </c>
      <c r="E200" s="24">
        <v>9</v>
      </c>
      <c r="F200" s="24">
        <v>0.30094368268289601</v>
      </c>
      <c r="G200" s="33">
        <v>45037</v>
      </c>
      <c r="H200" s="24">
        <v>0.55983002083455202</v>
      </c>
      <c r="I200" s="20"/>
    </row>
    <row r="201" spans="1:9" ht="14.4">
      <c r="A201" s="21" t="s">
        <v>245</v>
      </c>
      <c r="B201" s="22" t="s">
        <v>58</v>
      </c>
      <c r="C201" s="23" t="s">
        <v>59</v>
      </c>
      <c r="D201" s="33">
        <v>44502</v>
      </c>
      <c r="E201" s="24">
        <v>8</v>
      </c>
      <c r="F201" s="24">
        <v>0.91352809441905303</v>
      </c>
      <c r="G201" s="33">
        <v>44978</v>
      </c>
      <c r="H201" s="24">
        <v>0.137985792121295</v>
      </c>
      <c r="I201" s="20"/>
    </row>
    <row r="202" spans="1:9" ht="13.8">
      <c r="A202" s="26"/>
      <c r="B202" s="27"/>
      <c r="C202" s="20"/>
      <c r="D202" s="28"/>
      <c r="E202" s="20"/>
      <c r="F202" s="20"/>
      <c r="G202" s="28"/>
      <c r="H202" s="20"/>
      <c r="I202" s="20"/>
    </row>
    <row r="203" spans="1:9" ht="14.4">
      <c r="A203" s="26"/>
      <c r="B203" s="27"/>
      <c r="C203" s="20"/>
      <c r="D203" s="29" t="s">
        <v>246</v>
      </c>
      <c r="E203" s="20"/>
      <c r="F203" s="20"/>
      <c r="G203" s="30"/>
      <c r="H203" s="20"/>
      <c r="I203" s="20"/>
    </row>
    <row r="204" spans="1:9" ht="13.8">
      <c r="A204" s="26"/>
      <c r="B204" s="27"/>
      <c r="C204" s="20"/>
      <c r="D204" s="31"/>
      <c r="E204" s="20"/>
      <c r="F204" s="20"/>
      <c r="G204" s="20"/>
      <c r="H204" s="20"/>
      <c r="I204" s="20"/>
    </row>
  </sheetData>
  <hyperlinks>
    <hyperlink ref="B2" r:id="rId1" xr:uid="{47231C87-1A3D-4B7C-B040-83225182B48C}"/>
    <hyperlink ref="B3" r:id="rId2" xr:uid="{3AADC7D3-D9FE-4EE1-8BE6-626C16592F45}"/>
    <hyperlink ref="B4" r:id="rId3" xr:uid="{2756F4F5-4C5D-4289-B115-7018790690BE}"/>
    <hyperlink ref="B5" r:id="rId4" xr:uid="{DB8D48FC-1C8F-4D0A-AB4E-7226F1770670}"/>
    <hyperlink ref="B6" r:id="rId5" xr:uid="{BC786589-02E9-4CB5-9D6D-612F35BE7D83}"/>
    <hyperlink ref="B7" r:id="rId6" xr:uid="{2E2E2A63-C933-4335-93F0-D3B8E43BF632}"/>
    <hyperlink ref="B8" r:id="rId7" xr:uid="{E6716D22-EF96-42D7-B617-EDF4B679E430}"/>
    <hyperlink ref="B9" r:id="rId8" xr:uid="{4FAC6E74-694D-4C10-A277-898D14C4F190}"/>
    <hyperlink ref="B10" r:id="rId9" xr:uid="{4576413C-9EDD-4E2B-A255-7FF6C46FD003}"/>
    <hyperlink ref="B11" r:id="rId10" xr:uid="{FD00AD29-63EF-4395-AA10-F72CC7811B44}"/>
    <hyperlink ref="B12" r:id="rId11" xr:uid="{BF9C42E5-6FAF-44F7-ABF8-C493E4A32D69}"/>
    <hyperlink ref="B13" r:id="rId12" xr:uid="{DF8914C0-B636-46A0-BDAD-8DFEF0323E25}"/>
    <hyperlink ref="B14" r:id="rId13" xr:uid="{04CB5252-5D21-4A80-A2AF-2C32874A37B0}"/>
    <hyperlink ref="B15" r:id="rId14" xr:uid="{5E0679C3-81D0-4E90-A4A5-B1392E016D4D}"/>
    <hyperlink ref="B16" r:id="rId15" xr:uid="{CE4DEEED-7D71-4857-AA43-02338414572E}"/>
    <hyperlink ref="B17" r:id="rId16" xr:uid="{C2949FA9-54B2-480C-B1FD-EE1CC925EB2E}"/>
    <hyperlink ref="B18" r:id="rId17" xr:uid="{A9FEFEDB-C997-4AD4-80F7-1DF39DC26703}"/>
    <hyperlink ref="B19" r:id="rId18" xr:uid="{D4D89E5D-8E71-4187-9381-B623542398E5}"/>
    <hyperlink ref="B20" r:id="rId19" xr:uid="{193CDD29-CA27-4F13-BB4D-CF7080FD1726}"/>
    <hyperlink ref="B21" r:id="rId20" xr:uid="{1236E760-3B22-45D9-99CD-6C709EC272D4}"/>
    <hyperlink ref="B22" r:id="rId21" xr:uid="{5052DDA2-9227-49BD-B649-127DF86F570F}"/>
    <hyperlink ref="B23" r:id="rId22" xr:uid="{93DAE885-881D-41B1-9EA3-6DB98DF4D1D8}"/>
    <hyperlink ref="B24" r:id="rId23" xr:uid="{DBDD787D-6EA8-49EA-974E-E6756FD7B041}"/>
    <hyperlink ref="B25" r:id="rId24" xr:uid="{2CB58192-371E-4279-9AF4-B0D715A1BC68}"/>
    <hyperlink ref="B26" r:id="rId25" xr:uid="{13B7E171-70CE-4ACD-A4CE-B1ED670C326A}"/>
    <hyperlink ref="B27" r:id="rId26" xr:uid="{9A75DA35-E075-46AC-8E11-605F72F25C1B}"/>
    <hyperlink ref="B28" r:id="rId27" xr:uid="{4D74A6B5-B6EC-479F-8E79-83420AB27099}"/>
    <hyperlink ref="B29" r:id="rId28" xr:uid="{3EFB55BF-E175-4235-A7AE-EB1A5313E980}"/>
    <hyperlink ref="B30" r:id="rId29" xr:uid="{FF62A14B-91AA-49F0-8ABC-96B14B65C1DE}"/>
    <hyperlink ref="B31" r:id="rId30" xr:uid="{8843AFB1-4B85-45F4-9E5A-32CD7BA7FF63}"/>
    <hyperlink ref="B32" r:id="rId31" xr:uid="{8E99CA8B-135B-4EAD-972B-819336CFD334}"/>
    <hyperlink ref="B33" r:id="rId32" xr:uid="{53ABCC4E-2EF3-4CE7-B40C-2BADC8BA22E7}"/>
    <hyperlink ref="B34" r:id="rId33" xr:uid="{F2836137-7802-4711-A3A7-8D0938E4CDD8}"/>
    <hyperlink ref="B35" r:id="rId34" xr:uid="{A08E26DF-4F76-4FBE-BEE0-5D44AC4D4941}"/>
    <hyperlink ref="B36" r:id="rId35" xr:uid="{1C84BAEA-1657-4664-9E1C-593D70AABC1F}"/>
    <hyperlink ref="B37" r:id="rId36" xr:uid="{4DA68620-7EEB-4ECF-A6E3-682744909CA7}"/>
    <hyperlink ref="B38" r:id="rId37" xr:uid="{FE74FE42-A153-4B72-877D-F516BBB32692}"/>
    <hyperlink ref="B39" r:id="rId38" xr:uid="{669963A1-FCCB-480F-81B9-9AEF7FAF08CB}"/>
    <hyperlink ref="B40" r:id="rId39" xr:uid="{B21956C6-245B-4A42-B5B0-163A5E46D499}"/>
    <hyperlink ref="B41" r:id="rId40" xr:uid="{1058E44D-1585-4D3B-A275-BE5CB64FAD7B}"/>
    <hyperlink ref="B42" r:id="rId41" xr:uid="{89F725F4-D95B-43CA-9EC0-308485DEA98F}"/>
    <hyperlink ref="B43" r:id="rId42" xr:uid="{AEDA69EC-F279-45CE-85E7-E28F5EE6E120}"/>
    <hyperlink ref="B44" r:id="rId43" xr:uid="{E31DC7E0-D4AA-4399-8A5E-85BCFD771D6C}"/>
    <hyperlink ref="B45" r:id="rId44" xr:uid="{709702B4-05AC-4C0D-B072-346938F1B35E}"/>
    <hyperlink ref="B46" r:id="rId45" xr:uid="{7E0A91F4-8AD5-4429-B54F-F77EBDC53256}"/>
    <hyperlink ref="B47" r:id="rId46" xr:uid="{379855DB-AE36-4A47-A606-EFA479C9527A}"/>
    <hyperlink ref="B48" r:id="rId47" xr:uid="{2D7B3AD4-BFCA-41FF-914A-60AA7341DFAF}"/>
    <hyperlink ref="B49" r:id="rId48" xr:uid="{64981F68-CBE2-4F30-A92D-5EA39D078435}"/>
    <hyperlink ref="B50" r:id="rId49" xr:uid="{ADE4F4ED-87B8-4649-B25A-8AA8DAB6FBF6}"/>
    <hyperlink ref="B51" r:id="rId50" xr:uid="{FFB17567-CC13-4E11-867C-E5C4BF7DD57B}"/>
    <hyperlink ref="B52" r:id="rId51" xr:uid="{D0755471-CC94-428B-A3E2-A8250044CEF7}"/>
    <hyperlink ref="B53" r:id="rId52" xr:uid="{30007FD3-771F-47F4-A995-4AAB5399D49C}"/>
    <hyperlink ref="B54" r:id="rId53" xr:uid="{9D84E675-8C20-4DAE-8395-B786844CBAEE}"/>
    <hyperlink ref="B55" r:id="rId54" xr:uid="{F17A0A73-7864-45EF-A236-AEB3888A4472}"/>
    <hyperlink ref="B56" r:id="rId55" xr:uid="{7CEED4D1-F26F-443F-9616-307081BD9958}"/>
    <hyperlink ref="B57" r:id="rId56" xr:uid="{6765E336-20BB-4DE1-BF8B-5D58A4E479DF}"/>
    <hyperlink ref="B58" r:id="rId57" xr:uid="{52912314-A252-4998-A19E-C549BE9F8A37}"/>
    <hyperlink ref="B59" r:id="rId58" xr:uid="{C1299DCE-BA92-4D7F-A087-7C5D9E2A8F1C}"/>
    <hyperlink ref="B60" r:id="rId59" xr:uid="{78F158BF-A182-411F-AC60-5B3CA5EB265D}"/>
    <hyperlink ref="B62" r:id="rId60" xr:uid="{8948C6FB-080B-4B06-80AF-8C8D0EFD60EF}"/>
    <hyperlink ref="B63" r:id="rId61" xr:uid="{F1E15399-F764-4880-96BA-43F5BC5498E5}"/>
    <hyperlink ref="B64" r:id="rId62" xr:uid="{AFAE5DBC-72FC-4B05-B8A6-C33FB1913614}"/>
    <hyperlink ref="B65" r:id="rId63" xr:uid="{0D4FBF62-C92E-4618-A362-0FCAAB61F32F}"/>
    <hyperlink ref="B66" r:id="rId64" xr:uid="{EEA3387A-030C-412B-A856-62C53C2B7AAB}"/>
    <hyperlink ref="B67" r:id="rId65" xr:uid="{5FE820BB-7CEA-475C-B842-B3C6FEECA4BE}"/>
    <hyperlink ref="B68" r:id="rId66" xr:uid="{FA5A801A-3712-403C-A29D-592920964DAB}"/>
    <hyperlink ref="B69" r:id="rId67" xr:uid="{51597410-BD61-4A1F-90C2-E109543BC643}"/>
    <hyperlink ref="B70" r:id="rId68" xr:uid="{D5227C0D-455E-4951-8EFF-E2758454F038}"/>
    <hyperlink ref="B72" r:id="rId69" xr:uid="{E9A6ABF5-060E-47CA-9CC0-190B82D752A2}"/>
    <hyperlink ref="B73" r:id="rId70" xr:uid="{344E9B25-279E-4645-B2FB-D7604E5932DC}"/>
    <hyperlink ref="B74" r:id="rId71" xr:uid="{9B26F591-83C1-43DF-9664-8BE2F85F1665}"/>
    <hyperlink ref="B75" r:id="rId72" xr:uid="{7ED75328-E103-4AC3-85C5-E3714BA78ABB}"/>
    <hyperlink ref="B76" r:id="rId73" xr:uid="{F3C7F81F-C480-4777-93B0-2EA607ACE9AC}"/>
    <hyperlink ref="B77" r:id="rId74" xr:uid="{61268F20-E6DD-465C-9048-BF0AFC6B33C9}"/>
    <hyperlink ref="B78" r:id="rId75" xr:uid="{369CDE0D-3CF9-4098-8C57-AB178206E347}"/>
    <hyperlink ref="B79" r:id="rId76" xr:uid="{11D3E32E-0A75-492F-8274-862CC3CE4CE8}"/>
    <hyperlink ref="B80" r:id="rId77" xr:uid="{CFA3859E-6FDF-4BE0-A3E5-BAA9486A743C}"/>
    <hyperlink ref="B81" r:id="rId78" xr:uid="{43312794-BBEA-4E14-BF48-CEF327B025C5}"/>
    <hyperlink ref="B83" r:id="rId79" xr:uid="{2701EDE4-5BAF-4BED-B623-7A148CC288A5}"/>
    <hyperlink ref="B84" r:id="rId80" xr:uid="{FE51BDB5-02ED-4F0B-87CC-39B3E9741403}"/>
    <hyperlink ref="B85" r:id="rId81" xr:uid="{8A50B80D-1457-4747-BB33-0A03C529E553}"/>
    <hyperlink ref="B86" r:id="rId82" xr:uid="{BF0C6B20-C3B3-45C7-8AC1-683F2D0E4BF6}"/>
    <hyperlink ref="B87" r:id="rId83" xr:uid="{414FD2A5-E2B5-422D-80E2-DA0DE366A793}"/>
    <hyperlink ref="B89" r:id="rId84" xr:uid="{82923392-ADCC-418E-956B-8147F9841F71}"/>
    <hyperlink ref="B90" r:id="rId85" xr:uid="{EE9BEDC5-231F-44A6-B16F-F63A3ACBA6FB}"/>
    <hyperlink ref="B91" r:id="rId86" xr:uid="{226C190D-56DC-4E1C-9F9D-70F706231D89}"/>
    <hyperlink ref="B92" r:id="rId87" xr:uid="{F4347594-51DA-4768-875C-CB7F628F0562}"/>
    <hyperlink ref="B93" r:id="rId88" xr:uid="{13CE6CBE-F20B-44E5-9680-293FA42AFE57}"/>
    <hyperlink ref="B94" r:id="rId89" xr:uid="{909C4C59-0C0D-4D42-8AD8-844D9B85FFF6}"/>
    <hyperlink ref="B96" r:id="rId90" xr:uid="{DFD18F93-2BC9-4F19-9E54-34815DB15C91}"/>
    <hyperlink ref="B97" r:id="rId91" xr:uid="{CE0D9642-3ABA-4ACA-A197-AA4A53335E14}"/>
    <hyperlink ref="B99" r:id="rId92" xr:uid="{4BA374DC-E151-481B-83F2-EFA67BCF5869}"/>
    <hyperlink ref="B100" r:id="rId93" xr:uid="{53ED7638-392D-4843-A063-E94055F61772}"/>
    <hyperlink ref="B101" r:id="rId94" xr:uid="{79449963-00BC-4B0A-93BA-A2F3717E5509}"/>
    <hyperlink ref="B103" r:id="rId95" xr:uid="{DD8A8070-3B7A-4B2B-84EA-CE26B29C8634}"/>
    <hyperlink ref="B104" r:id="rId96" xr:uid="{83EA497D-00F6-4A0D-810B-1B64FD6B35AD}"/>
    <hyperlink ref="B106" r:id="rId97" xr:uid="{193ADC83-8AB3-43B0-A438-E8955D8AABBB}"/>
    <hyperlink ref="B107" r:id="rId98" xr:uid="{694EEC0A-38CC-4DFF-8EE2-7678810E99C7}"/>
    <hyperlink ref="B108" r:id="rId99" xr:uid="{6B56E39E-6287-46E8-AFBB-9C1BD8B3C6CF}"/>
    <hyperlink ref="B109" r:id="rId100" xr:uid="{27F3A92B-6066-44A5-B954-F48836CB0447}"/>
    <hyperlink ref="B110" r:id="rId101" xr:uid="{14A42218-748F-44D3-9EE3-06AE0FD50C2D}"/>
    <hyperlink ref="B111" r:id="rId102" xr:uid="{9ADDBDE0-627C-4276-96C5-78B9566285BA}"/>
    <hyperlink ref="B112" r:id="rId103" xr:uid="{5BCE975B-FD9F-4E2B-B9F6-CA8F46FF6DFE}"/>
    <hyperlink ref="B113" r:id="rId104" xr:uid="{2B54BC28-0B14-493D-B741-5B67677A35FF}"/>
    <hyperlink ref="B114" r:id="rId105" xr:uid="{51E12634-681F-4220-9199-4A29A9FA1B0A}"/>
    <hyperlink ref="B115" r:id="rId106" xr:uid="{9A61A7F5-8DC7-466D-B83E-084007B1FE56}"/>
    <hyperlink ref="B116" r:id="rId107" xr:uid="{BBB9209F-9AC4-4BA2-AA95-0CC3281820E4}"/>
    <hyperlink ref="B117" r:id="rId108" xr:uid="{ED3C4155-2D3B-48ED-8558-00C7EE6BB481}"/>
    <hyperlink ref="B119" r:id="rId109" xr:uid="{8F375927-5C83-4999-8D21-33AF734D8F6D}"/>
    <hyperlink ref="B120" r:id="rId110" xr:uid="{7AAEA810-029A-4DEF-92BF-F880F7F52089}"/>
    <hyperlink ref="B121" r:id="rId111" xr:uid="{11848EAF-7BA1-42E6-AC96-4D61090623E9}"/>
    <hyperlink ref="B122" r:id="rId112" xr:uid="{96DCA9D7-9EFB-451A-A807-71909D953148}"/>
    <hyperlink ref="B123" r:id="rId113" xr:uid="{7F65C146-010D-48FE-B7E8-CAFB2C704193}"/>
    <hyperlink ref="B124" r:id="rId114" xr:uid="{AFF405C8-0B3D-4430-80D6-8DF0C36D54F7}"/>
    <hyperlink ref="B125" r:id="rId115" xr:uid="{0E375E3A-2F2A-4584-AE7E-C7AF6CA64387}"/>
    <hyperlink ref="B126" r:id="rId116" xr:uid="{4E8D133A-EAA7-453A-BE6F-35B699F5AB45}"/>
    <hyperlink ref="B128" r:id="rId117" xr:uid="{2597BB08-4225-47C6-BF73-78859FE27ADB}"/>
    <hyperlink ref="B129" r:id="rId118" xr:uid="{FD1CC180-21C5-4A10-A6B5-37F6D55E4E26}"/>
    <hyperlink ref="B131" r:id="rId119" xr:uid="{FC98BF64-B3B9-4EF0-BA32-758F5F5882D0}"/>
    <hyperlink ref="B132" r:id="rId120" xr:uid="{E4877144-C38C-4AD0-9F57-A21721F37E2D}"/>
    <hyperlink ref="B133" r:id="rId121" xr:uid="{E57C9F18-5AD2-48E9-9E60-715850E9E847}"/>
    <hyperlink ref="B134" r:id="rId122" xr:uid="{1C8DCD39-A92D-4B0F-B20B-A6D61E9FDE43}"/>
    <hyperlink ref="B135" r:id="rId123" xr:uid="{1C731E8B-767A-42FE-BF84-19825D89C2E0}"/>
    <hyperlink ref="B136" r:id="rId124" xr:uid="{5FEDCAE7-FFAF-427A-99A5-55A7DBE73351}"/>
    <hyperlink ref="B137" r:id="rId125" xr:uid="{90143E79-696D-41B9-9A17-A712049392BF}"/>
    <hyperlink ref="B138" r:id="rId126" xr:uid="{0035E991-1438-49FC-B6C0-DE519F4ACAFF}"/>
    <hyperlink ref="B139" r:id="rId127" xr:uid="{7050AC2C-1BF9-4D63-B023-69F5CA951174}"/>
    <hyperlink ref="B140" r:id="rId128" xr:uid="{E0FCEDE3-C775-4342-9C62-C80CDEC647FC}"/>
    <hyperlink ref="B141" r:id="rId129" xr:uid="{A1CD4AF6-8BDA-427A-A715-90B4F0940451}"/>
    <hyperlink ref="B142" r:id="rId130" xr:uid="{2DF96627-B8CD-496D-95F5-7ED59570EE6B}"/>
    <hyperlink ref="B143" r:id="rId131" xr:uid="{46E15017-0661-4116-881E-E960E0717688}"/>
    <hyperlink ref="B144" r:id="rId132" xr:uid="{4D9AC229-D049-4FC6-8A84-CC10458511F9}"/>
    <hyperlink ref="B145" r:id="rId133" xr:uid="{3154744D-ACFA-4A93-B84B-DEBB2C6037E1}"/>
    <hyperlink ref="B146" r:id="rId134" xr:uid="{1F3F2041-3A6D-4E4F-9D99-5622106FC338}"/>
    <hyperlink ref="B147" r:id="rId135" xr:uid="{6781E5FE-DBD3-47D2-BD3A-9FF299F71B9F}"/>
    <hyperlink ref="B148" r:id="rId136" xr:uid="{6C518B39-BF85-4B10-B83C-86DD49DC1862}"/>
    <hyperlink ref="B149" r:id="rId137" xr:uid="{E9A6A9E5-FD26-4995-B6AF-C4158B74794C}"/>
    <hyperlink ref="B150" r:id="rId138" xr:uid="{7DAD2C14-4881-4DC4-A813-705F094CAB3F}"/>
    <hyperlink ref="B151" r:id="rId139" xr:uid="{1B4C2D72-169C-4C56-9627-3A4BC339ACFD}"/>
    <hyperlink ref="B154" r:id="rId140" xr:uid="{5118C907-500E-42E4-BAA7-310F1792173F}"/>
    <hyperlink ref="B155" r:id="rId141" xr:uid="{BEB7271C-AD1F-4FC3-9A64-5FBEC3363210}"/>
    <hyperlink ref="B156" r:id="rId142" xr:uid="{488CAC4B-9A0B-4237-ABC4-F45C3B959700}"/>
    <hyperlink ref="B157" r:id="rId143" xr:uid="{74B77861-86DC-4F6A-A2A3-290F7397F398}"/>
    <hyperlink ref="B159" r:id="rId144" xr:uid="{7FF53B11-E5B4-40FC-B66A-D81F0314FEBC}"/>
    <hyperlink ref="B160" r:id="rId145" xr:uid="{B8300F90-7B33-4692-8C3A-1E0DE661CBC6}"/>
    <hyperlink ref="B161" r:id="rId146" xr:uid="{9262735C-0776-4B03-AC81-9753373A5D17}"/>
    <hyperlink ref="B162" r:id="rId147" xr:uid="{2E950B73-F2DC-44CA-BD6B-3B2FE0FFD3CA}"/>
    <hyperlink ref="B163" r:id="rId148" xr:uid="{209C49B5-215E-42AE-BCBE-95E0775FA5E1}"/>
    <hyperlink ref="B164" r:id="rId149" xr:uid="{46D275D5-1328-441D-80AC-227CC464BCDB}"/>
    <hyperlink ref="B165" r:id="rId150" xr:uid="{E7DE634D-F0BA-4406-9351-BFDCBCACE44F}"/>
    <hyperlink ref="B166" r:id="rId151" xr:uid="{03840838-5A1D-4165-B155-DA9BC59FAF11}"/>
    <hyperlink ref="B167" r:id="rId152" xr:uid="{A5E32B40-F675-48D2-909A-4ED78E847FC7}"/>
    <hyperlink ref="B168" r:id="rId153" xr:uid="{9597887F-2880-4AED-AE09-3114A57C442B}"/>
    <hyperlink ref="B169" r:id="rId154" xr:uid="{84C7132E-9FCC-43E5-B158-1B372380B9F5}"/>
    <hyperlink ref="B171" r:id="rId155" xr:uid="{0A185DD4-C5A2-4EEE-88A8-48D30C2AC502}"/>
    <hyperlink ref="B172" r:id="rId156" xr:uid="{F1316497-2E05-4B1E-964D-506F312A6E92}"/>
    <hyperlink ref="B173" r:id="rId157" xr:uid="{525D0175-3DB3-43E3-98E2-22F16F44182A}"/>
    <hyperlink ref="B174" r:id="rId158" xr:uid="{544AEE34-7032-4333-BFBF-C73EFD44C86E}"/>
    <hyperlink ref="B175" r:id="rId159" xr:uid="{50A56023-D594-4048-96BC-F1541AF3719F}"/>
    <hyperlink ref="B176" r:id="rId160" xr:uid="{188AA89D-32B0-4E5B-92CC-0F02E86BF0B3}"/>
    <hyperlink ref="B177" r:id="rId161" xr:uid="{5F1DFE32-D0BB-4B14-AD88-3E53892F9A02}"/>
    <hyperlink ref="B178" r:id="rId162" xr:uid="{493983FD-0465-4A0B-B905-9707C4027EE9}"/>
    <hyperlink ref="B179" r:id="rId163" xr:uid="{441EE0C8-B32B-459E-ACE8-C3BA8AC93CAB}"/>
    <hyperlink ref="B180" r:id="rId164" xr:uid="{72973080-587D-4532-951E-E7FD0AA838B4}"/>
    <hyperlink ref="B181" r:id="rId165" xr:uid="{34B729A1-302C-4157-8FBC-90D66C16BB6E}"/>
    <hyperlink ref="B182" r:id="rId166" xr:uid="{471EA0BD-0D95-41F5-A123-851B02924257}"/>
    <hyperlink ref="B183" r:id="rId167" xr:uid="{4F0CF471-D05B-4192-8999-17AC57BCD1C2}"/>
    <hyperlink ref="B184" r:id="rId168" xr:uid="{66521B67-2E68-4AEE-B5D3-91F5686BD6B9}"/>
    <hyperlink ref="B185" r:id="rId169" xr:uid="{4959998C-9664-40E7-A2D2-4FB5846FE41C}"/>
    <hyperlink ref="B186" r:id="rId170" xr:uid="{A7395458-7625-4757-A057-498BFD0E3972}"/>
    <hyperlink ref="B187" r:id="rId171" xr:uid="{81F059C9-F030-474F-B931-C3039C3C4177}"/>
    <hyperlink ref="B188" r:id="rId172" xr:uid="{AA214A2C-B72A-4E31-80A1-E10E0DD73779}"/>
    <hyperlink ref="B189" r:id="rId173" xr:uid="{233569E5-A7E2-4D5F-911E-736A7ECE605B}"/>
    <hyperlink ref="B190" r:id="rId174" xr:uid="{2BE6121D-5EA5-4E3D-9F15-84ACBDA565D8}"/>
    <hyperlink ref="B191" r:id="rId175" xr:uid="{999133FB-B014-4F27-AEB5-8174D229FB71}"/>
    <hyperlink ref="B192" r:id="rId176" xr:uid="{F728707C-CC5C-47AD-A9D9-E9CF5A3896D1}"/>
    <hyperlink ref="B193" r:id="rId177" xr:uid="{ECBBFFBC-2A86-4E29-9F0E-6E26873B4A80}"/>
    <hyperlink ref="B194" r:id="rId178" xr:uid="{1DAC1DB8-7620-410B-A399-F297974B700B}"/>
    <hyperlink ref="B195" r:id="rId179" xr:uid="{A3EDE0C0-1DEA-4969-8468-0FC7F3C8F450}"/>
    <hyperlink ref="B196" r:id="rId180" xr:uid="{A7D2FC2C-2846-43AF-9EA1-9596A2683545}"/>
    <hyperlink ref="B198" r:id="rId181" xr:uid="{EDF96A9D-FAE6-4AD0-B6E0-741B61F5941E}"/>
    <hyperlink ref="B199" r:id="rId182" xr:uid="{B57056B8-F631-4FF3-A24A-5F87B08E5756}"/>
    <hyperlink ref="B200" r:id="rId183" xr:uid="{5092BF1D-E429-44E9-97E2-207D71118DBA}"/>
    <hyperlink ref="B201" r:id="rId184" xr:uid="{CCEBC72C-0497-42DD-8D16-62D768757A38}"/>
  </hyperlinks>
  <pageMargins left="0" right="0" top="0" bottom="0" header="0" footer="0"/>
  <pageSetup paperSize="9" orientation="portrait" horizontalDpi="0" verticalDpi="0" r:id="rId18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CC56-17BC-4277-A05A-9AF41F298CE3}">
  <dimension ref="A1:D57"/>
  <sheetViews>
    <sheetView workbookViewId="0">
      <selection activeCell="A2" sqref="A2"/>
    </sheetView>
  </sheetViews>
  <sheetFormatPr defaultRowHeight="13.2"/>
  <cols>
    <col min="1" max="1" width="21.109375" style="15" bestFit="1" customWidth="1"/>
    <col min="2" max="2" width="31.5546875" style="15" bestFit="1" customWidth="1"/>
    <col min="3" max="3" width="17.21875" style="15" bestFit="1" customWidth="1"/>
    <col min="4" max="4" width="27.6640625" style="15" bestFit="1" customWidth="1"/>
    <col min="5" max="5" width="18.44140625" style="15" bestFit="1" customWidth="1"/>
    <col min="6" max="6" width="9" style="15" bestFit="1" customWidth="1"/>
    <col min="7" max="7" width="26" style="15" bestFit="1" customWidth="1"/>
    <col min="8" max="8" width="21.77734375" style="15" bestFit="1" customWidth="1"/>
    <col min="9" max="9" width="28.6640625" style="15" bestFit="1" customWidth="1"/>
    <col min="10" max="10" width="15.44140625" style="15" bestFit="1" customWidth="1"/>
    <col min="11" max="11" width="22.6640625" style="15" bestFit="1" customWidth="1"/>
    <col min="12" max="12" width="7.5546875" style="15" bestFit="1" customWidth="1"/>
    <col min="13" max="13" width="33.88671875" style="15" bestFit="1" customWidth="1"/>
    <col min="14" max="14" width="23.109375" style="15" bestFit="1" customWidth="1"/>
    <col min="15" max="15" width="24.33203125" style="15" bestFit="1" customWidth="1"/>
    <col min="16" max="16" width="30.21875" style="15" bestFit="1" customWidth="1"/>
    <col min="17" max="17" width="24.109375" style="15" bestFit="1" customWidth="1"/>
    <col min="18" max="18" width="24.6640625" style="15" bestFit="1" customWidth="1"/>
    <col min="19" max="19" width="18.88671875" style="15" bestFit="1" customWidth="1"/>
    <col min="20" max="21" width="22.109375" style="15" bestFit="1" customWidth="1"/>
    <col min="22" max="22" width="23" style="15" bestFit="1" customWidth="1"/>
    <col min="23" max="23" width="17.88671875" style="15" bestFit="1" customWidth="1"/>
    <col min="24" max="16384" width="8.88671875" style="15"/>
  </cols>
  <sheetData>
    <row r="1" spans="1:4" ht="20.399999999999999" thickBot="1">
      <c r="A1" s="35" t="s">
        <v>2</v>
      </c>
      <c r="B1" s="35" t="s">
        <v>1</v>
      </c>
      <c r="C1" s="35" t="s">
        <v>247</v>
      </c>
      <c r="D1" s="13" t="s">
        <v>266</v>
      </c>
    </row>
    <row r="2" spans="1:4">
      <c r="A2" s="36" t="s">
        <v>104</v>
      </c>
      <c r="B2" s="36" t="s">
        <v>103</v>
      </c>
      <c r="C2" s="67">
        <v>80</v>
      </c>
      <c r="D2" s="37"/>
    </row>
    <row r="3" spans="1:4">
      <c r="A3" s="36" t="s">
        <v>249</v>
      </c>
      <c r="B3" s="36"/>
      <c r="C3" s="67">
        <v>80</v>
      </c>
      <c r="D3" s="36" t="str">
        <f t="shared" ref="D3:D39" si="0">IF(OR(C3&gt;67,C3=67), "YES","NO")</f>
        <v>YES</v>
      </c>
    </row>
    <row r="4" spans="1:4">
      <c r="A4" s="36" t="s">
        <v>59</v>
      </c>
      <c r="B4" s="36" t="s">
        <v>58</v>
      </c>
      <c r="C4" s="67">
        <v>83</v>
      </c>
      <c r="D4" s="36"/>
    </row>
    <row r="5" spans="1:4">
      <c r="A5" s="36" t="s">
        <v>250</v>
      </c>
      <c r="B5" s="36"/>
      <c r="C5" s="67">
        <v>83</v>
      </c>
      <c r="D5" s="36" t="str">
        <f t="shared" si="0"/>
        <v>YES</v>
      </c>
    </row>
    <row r="6" spans="1:4">
      <c r="A6" s="36" t="s">
        <v>31</v>
      </c>
      <c r="B6" s="36" t="s">
        <v>30</v>
      </c>
      <c r="C6" s="67">
        <v>46</v>
      </c>
      <c r="D6" s="36"/>
    </row>
    <row r="7" spans="1:4">
      <c r="A7" s="36" t="s">
        <v>251</v>
      </c>
      <c r="B7" s="36"/>
      <c r="C7" s="67">
        <v>46</v>
      </c>
      <c r="D7" s="36" t="str">
        <f t="shared" si="0"/>
        <v>NO</v>
      </c>
    </row>
    <row r="8" spans="1:4">
      <c r="A8" s="36" t="s">
        <v>50</v>
      </c>
      <c r="B8" s="36" t="s">
        <v>49</v>
      </c>
      <c r="C8" s="67">
        <v>39</v>
      </c>
      <c r="D8" s="36"/>
    </row>
    <row r="9" spans="1:4">
      <c r="A9" s="36"/>
      <c r="B9" s="36" t="s">
        <v>71</v>
      </c>
      <c r="C9" s="67">
        <v>35</v>
      </c>
      <c r="D9" s="36"/>
    </row>
    <row r="10" spans="1:4">
      <c r="A10" s="36" t="s">
        <v>252</v>
      </c>
      <c r="B10" s="36"/>
      <c r="C10" s="67">
        <v>74</v>
      </c>
      <c r="D10" s="36" t="str">
        <f t="shared" si="0"/>
        <v>YES</v>
      </c>
    </row>
    <row r="11" spans="1:4">
      <c r="A11" s="36" t="s">
        <v>22</v>
      </c>
      <c r="B11" s="36" t="s">
        <v>21</v>
      </c>
      <c r="C11" s="67">
        <v>30</v>
      </c>
      <c r="D11" s="36"/>
    </row>
    <row r="12" spans="1:4">
      <c r="A12" s="36"/>
      <c r="B12" s="36" t="s">
        <v>129</v>
      </c>
      <c r="C12" s="67">
        <v>40</v>
      </c>
      <c r="D12" s="36"/>
    </row>
    <row r="13" spans="1:4">
      <c r="A13" s="36" t="s">
        <v>253</v>
      </c>
      <c r="B13" s="36"/>
      <c r="C13" s="67">
        <v>70</v>
      </c>
      <c r="D13" s="36" t="str">
        <f t="shared" si="0"/>
        <v>YES</v>
      </c>
    </row>
    <row r="14" spans="1:4">
      <c r="A14" s="36" t="s">
        <v>35</v>
      </c>
      <c r="B14" s="36" t="s">
        <v>34</v>
      </c>
      <c r="C14" s="67">
        <v>81</v>
      </c>
      <c r="D14" s="36"/>
    </row>
    <row r="15" spans="1:4">
      <c r="A15" s="36" t="s">
        <v>254</v>
      </c>
      <c r="B15" s="36"/>
      <c r="C15" s="67">
        <v>81</v>
      </c>
      <c r="D15" s="36" t="str">
        <f t="shared" si="0"/>
        <v>YES</v>
      </c>
    </row>
    <row r="16" spans="1:4">
      <c r="A16" s="36" t="s">
        <v>47</v>
      </c>
      <c r="B16" s="36" t="s">
        <v>46</v>
      </c>
      <c r="C16" s="67">
        <v>54</v>
      </c>
      <c r="D16" s="36"/>
    </row>
    <row r="17" spans="1:4">
      <c r="A17" s="36" t="s">
        <v>255</v>
      </c>
      <c r="B17" s="36"/>
      <c r="C17" s="67">
        <v>54</v>
      </c>
      <c r="D17" s="36" t="str">
        <f t="shared" si="0"/>
        <v>NO</v>
      </c>
    </row>
    <row r="18" spans="1:4">
      <c r="A18" s="36" t="s">
        <v>10</v>
      </c>
      <c r="B18" s="36" t="s">
        <v>9</v>
      </c>
      <c r="C18" s="67">
        <v>75</v>
      </c>
      <c r="D18" s="36"/>
    </row>
    <row r="19" spans="1:4">
      <c r="A19" s="36"/>
      <c r="B19" s="36" t="s">
        <v>15</v>
      </c>
      <c r="C19" s="67">
        <v>36</v>
      </c>
      <c r="D19" s="36"/>
    </row>
    <row r="20" spans="1:4">
      <c r="A20" s="36" t="s">
        <v>256</v>
      </c>
      <c r="B20" s="36"/>
      <c r="C20" s="67">
        <v>111</v>
      </c>
      <c r="D20" s="36" t="str">
        <f t="shared" si="0"/>
        <v>YES</v>
      </c>
    </row>
    <row r="21" spans="1:4">
      <c r="A21" s="36" t="s">
        <v>13</v>
      </c>
      <c r="B21" s="36" t="s">
        <v>12</v>
      </c>
      <c r="C21" s="67">
        <v>40</v>
      </c>
      <c r="D21" s="36"/>
    </row>
    <row r="22" spans="1:4">
      <c r="A22" s="36" t="s">
        <v>257</v>
      </c>
      <c r="B22" s="36"/>
      <c r="C22" s="67">
        <v>40</v>
      </c>
      <c r="D22" s="36" t="str">
        <f t="shared" si="0"/>
        <v>NO</v>
      </c>
    </row>
    <row r="23" spans="1:4">
      <c r="A23" s="36" t="s">
        <v>44</v>
      </c>
      <c r="B23" s="36" t="s">
        <v>43</v>
      </c>
      <c r="C23" s="67">
        <v>43</v>
      </c>
      <c r="D23" s="36"/>
    </row>
    <row r="24" spans="1:4">
      <c r="A24" s="36" t="s">
        <v>258</v>
      </c>
      <c r="B24" s="36"/>
      <c r="C24" s="67">
        <v>43</v>
      </c>
      <c r="D24" s="36" t="str">
        <f t="shared" si="0"/>
        <v>NO</v>
      </c>
    </row>
    <row r="25" spans="1:4">
      <c r="A25" s="36" t="s">
        <v>40</v>
      </c>
      <c r="B25" s="36" t="s">
        <v>39</v>
      </c>
      <c r="C25" s="67">
        <v>35</v>
      </c>
      <c r="D25" s="36"/>
    </row>
    <row r="26" spans="1:4">
      <c r="A26" s="36" t="s">
        <v>259</v>
      </c>
      <c r="B26" s="36"/>
      <c r="C26" s="67">
        <v>35</v>
      </c>
      <c r="D26" s="36" t="str">
        <f t="shared" si="0"/>
        <v>NO</v>
      </c>
    </row>
    <row r="27" spans="1:4">
      <c r="A27" s="36" t="s">
        <v>28</v>
      </c>
      <c r="B27" s="36" t="s">
        <v>27</v>
      </c>
      <c r="C27" s="67">
        <v>34</v>
      </c>
      <c r="D27" s="36"/>
    </row>
    <row r="28" spans="1:4">
      <c r="A28" s="36" t="s">
        <v>260</v>
      </c>
      <c r="B28" s="36"/>
      <c r="C28" s="67">
        <v>34</v>
      </c>
      <c r="D28" s="36" t="str">
        <f t="shared" si="0"/>
        <v>NO</v>
      </c>
    </row>
    <row r="29" spans="1:4">
      <c r="A29" s="36" t="s">
        <v>25</v>
      </c>
      <c r="B29" s="36" t="s">
        <v>24</v>
      </c>
      <c r="C29" s="67">
        <v>36</v>
      </c>
      <c r="D29" s="36"/>
    </row>
    <row r="30" spans="1:4">
      <c r="A30" s="36" t="s">
        <v>261</v>
      </c>
      <c r="B30" s="36"/>
      <c r="C30" s="67">
        <v>36</v>
      </c>
      <c r="D30" s="36" t="str">
        <f t="shared" si="0"/>
        <v>NO</v>
      </c>
    </row>
    <row r="31" spans="1:4">
      <c r="A31" s="36" t="s">
        <v>18</v>
      </c>
      <c r="B31" s="36" t="s">
        <v>17</v>
      </c>
      <c r="C31" s="67">
        <v>49</v>
      </c>
      <c r="D31" s="36"/>
    </row>
    <row r="32" spans="1:4">
      <c r="A32" s="36" t="s">
        <v>262</v>
      </c>
      <c r="B32" s="36"/>
      <c r="C32" s="67">
        <v>49</v>
      </c>
      <c r="D32" s="36" t="str">
        <f t="shared" si="0"/>
        <v>NO</v>
      </c>
    </row>
    <row r="33" spans="1:4">
      <c r="A33" s="36" t="s">
        <v>74</v>
      </c>
      <c r="B33" s="36" t="s">
        <v>73</v>
      </c>
      <c r="C33" s="67">
        <v>57</v>
      </c>
      <c r="D33" s="36"/>
    </row>
    <row r="34" spans="1:4">
      <c r="A34" s="36" t="s">
        <v>263</v>
      </c>
      <c r="B34" s="36"/>
      <c r="C34" s="67">
        <v>57</v>
      </c>
      <c r="D34" s="36" t="str">
        <f t="shared" si="0"/>
        <v>NO</v>
      </c>
    </row>
    <row r="35" spans="1:4">
      <c r="A35" s="36" t="s">
        <v>55</v>
      </c>
      <c r="B35" s="36" t="s">
        <v>54</v>
      </c>
      <c r="C35" s="67">
        <v>38</v>
      </c>
      <c r="D35" s="36"/>
    </row>
    <row r="36" spans="1:4">
      <c r="A36" s="36" t="s">
        <v>264</v>
      </c>
      <c r="B36" s="36"/>
      <c r="C36" s="67">
        <v>38</v>
      </c>
      <c r="D36" s="36" t="str">
        <f t="shared" si="0"/>
        <v>NO</v>
      </c>
    </row>
    <row r="37" spans="1:4">
      <c r="A37" s="36" t="s">
        <v>62</v>
      </c>
      <c r="B37" s="36" t="s">
        <v>61</v>
      </c>
      <c r="C37" s="67">
        <v>42</v>
      </c>
      <c r="D37" s="36"/>
    </row>
    <row r="38" spans="1:4">
      <c r="A38" s="36"/>
      <c r="B38" s="36" t="s">
        <v>81</v>
      </c>
      <c r="C38" s="67">
        <v>46</v>
      </c>
      <c r="D38" s="36"/>
    </row>
    <row r="39" spans="1:4">
      <c r="A39" s="36" t="s">
        <v>265</v>
      </c>
      <c r="B39" s="36"/>
      <c r="C39" s="67">
        <v>88</v>
      </c>
      <c r="D39" s="36" t="str">
        <f t="shared" si="0"/>
        <v>YES</v>
      </c>
    </row>
    <row r="40" spans="1:4">
      <c r="A40" s="36" t="s">
        <v>248</v>
      </c>
      <c r="B40" s="36"/>
      <c r="C40" s="67">
        <v>1019</v>
      </c>
      <c r="D40" s="36"/>
    </row>
    <row r="41" spans="1:4">
      <c r="A41"/>
      <c r="B41"/>
      <c r="C41"/>
    </row>
    <row r="42" spans="1:4">
      <c r="A42"/>
      <c r="B42"/>
      <c r="C42"/>
    </row>
    <row r="43" spans="1:4">
      <c r="A43"/>
      <c r="B43"/>
      <c r="C43"/>
    </row>
    <row r="44" spans="1:4">
      <c r="A44"/>
      <c r="B44"/>
      <c r="C44"/>
    </row>
    <row r="45" spans="1:4">
      <c r="A45"/>
      <c r="B45"/>
      <c r="C45"/>
    </row>
    <row r="46" spans="1:4">
      <c r="A46"/>
      <c r="B46"/>
      <c r="C46"/>
    </row>
    <row r="47" spans="1:4">
      <c r="A47"/>
      <c r="B47"/>
      <c r="C47"/>
    </row>
    <row r="48" spans="1:4">
      <c r="A48"/>
      <c r="B48"/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  <row r="54" spans="1:3">
      <c r="A54"/>
      <c r="B54"/>
      <c r="C54"/>
    </row>
    <row r="55" spans="1:3">
      <c r="A55"/>
      <c r="B55"/>
      <c r="C55"/>
    </row>
    <row r="56" spans="1:3">
      <c r="A56"/>
      <c r="B56"/>
      <c r="C56"/>
    </row>
    <row r="57" spans="1:3">
      <c r="A57"/>
      <c r="B57"/>
      <c r="C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C31A-DB07-4B51-9F43-ADCB259FBC45}">
  <dimension ref="A1:M201"/>
  <sheetViews>
    <sheetView workbookViewId="0">
      <selection activeCell="A2" sqref="A2"/>
    </sheetView>
  </sheetViews>
  <sheetFormatPr defaultRowHeight="13.2"/>
  <cols>
    <col min="1" max="1" width="10.109375" style="34" bestFit="1" customWidth="1"/>
    <col min="2" max="2" width="9.77734375" style="15" bestFit="1" customWidth="1"/>
    <col min="3" max="3" width="9.21875" style="15" bestFit="1" customWidth="1"/>
    <col min="4" max="4" width="8.88671875" style="15"/>
    <col min="5" max="5" width="21.77734375" style="15" bestFit="1" customWidth="1"/>
    <col min="6" max="6" width="17" style="15" bestFit="1" customWidth="1"/>
    <col min="7" max="7" width="8.88671875" style="15"/>
    <col min="8" max="8" width="28.33203125" style="15" bestFit="1" customWidth="1"/>
    <col min="9" max="9" width="21.44140625" style="15" bestFit="1" customWidth="1"/>
    <col min="10" max="10" width="21.77734375" style="15" bestFit="1" customWidth="1"/>
    <col min="11" max="14" width="8.88671875" style="15"/>
    <col min="15" max="15" width="19" style="15" bestFit="1" customWidth="1"/>
    <col min="16" max="16" width="12.6640625" style="15" bestFit="1" customWidth="1"/>
    <col min="17" max="17" width="19" style="15" bestFit="1" customWidth="1"/>
    <col min="18" max="18" width="12.6640625" style="15" bestFit="1" customWidth="1"/>
    <col min="19" max="16384" width="8.88671875" style="15"/>
  </cols>
  <sheetData>
    <row r="1" spans="1:10" ht="19.2" thickBot="1">
      <c r="A1" s="35" t="s">
        <v>267</v>
      </c>
      <c r="B1" s="35" t="s">
        <v>268</v>
      </c>
      <c r="C1" s="35" t="s">
        <v>269</v>
      </c>
      <c r="F1" s="42"/>
      <c r="H1" s="35" t="s">
        <v>287</v>
      </c>
      <c r="I1" s="35" t="s">
        <v>288</v>
      </c>
      <c r="J1" s="35" t="s">
        <v>289</v>
      </c>
    </row>
    <row r="2" spans="1:10">
      <c r="A2" s="38" t="str">
        <f>'Database iniziale'!A2</f>
        <v>agfgcfxt</v>
      </c>
      <c r="B2" s="38">
        <f>_xlfn.DAYS('My trades'!G2,'My trades'!D2)</f>
        <v>251</v>
      </c>
      <c r="C2" s="39">
        <f>ROUND(('Database iniziale'!H2-'Database iniziale'!F2)*'Database iniziale'!E2,5)</f>
        <v>1.91761</v>
      </c>
      <c r="E2" s="43" t="s">
        <v>283</v>
      </c>
      <c r="F2" s="36">
        <f>MIN(B2:B201)</f>
        <v>30</v>
      </c>
      <c r="H2" s="37">
        <f>F2</f>
        <v>30</v>
      </c>
      <c r="I2" s="45" cm="1">
        <f t="array" ref="I2:I11">FREQUENCY(B2:B201,H2:H10)</f>
        <v>1</v>
      </c>
      <c r="J2" s="37">
        <f t="shared" ref="J2:J33" si="0">_xlfn.NORM.DIST(B2,$F$10,$F$14,TRUE)</f>
        <v>0.18612022240363449</v>
      </c>
    </row>
    <row r="3" spans="1:10">
      <c r="A3" s="40" t="str">
        <f>'Database iniziale'!A3</f>
        <v>aieoltom</v>
      </c>
      <c r="B3" s="38">
        <f>_xlfn.DAYS('My trades'!G3,'My trades'!D3)</f>
        <v>839</v>
      </c>
      <c r="C3" s="41">
        <f>ROUND(('Database iniziale'!H3-'Database iniziale'!F3)*'Database iniziale'!E3,5)</f>
        <v>0.49681999999999998</v>
      </c>
      <c r="E3" s="43" t="s">
        <v>284</v>
      </c>
      <c r="F3" s="36">
        <f>MAX(B2:B201)</f>
        <v>862</v>
      </c>
      <c r="H3" s="36">
        <f t="shared" ref="H3:H10" si="1">H2+$F$5</f>
        <v>130</v>
      </c>
      <c r="I3" s="46">
        <v>15</v>
      </c>
      <c r="J3" s="36">
        <f t="shared" si="0"/>
        <v>0.95967554326529791</v>
      </c>
    </row>
    <row r="4" spans="1:10">
      <c r="A4" s="40" t="str">
        <f>'Database iniziale'!A4</f>
        <v>almuieaq</v>
      </c>
      <c r="B4" s="38">
        <f>_xlfn.DAYS('My trades'!G4,'My trades'!D4)</f>
        <v>449</v>
      </c>
      <c r="C4" s="41">
        <f>ROUND(('Database iniziale'!H4-'Database iniziale'!F4)*'Database iniziale'!E4,5)</f>
        <v>-1.55019</v>
      </c>
      <c r="E4" s="43" t="s">
        <v>285</v>
      </c>
      <c r="F4" s="36">
        <v>10</v>
      </c>
      <c r="H4" s="36">
        <f t="shared" si="1"/>
        <v>230</v>
      </c>
      <c r="I4" s="46">
        <v>25</v>
      </c>
      <c r="J4" s="36">
        <f t="shared" si="0"/>
        <v>0.49857644523770184</v>
      </c>
    </row>
    <row r="5" spans="1:10">
      <c r="A5" s="40" t="str">
        <f>'Database iniziale'!A5</f>
        <v>apxkynfx</v>
      </c>
      <c r="B5" s="38">
        <f>_xlfn.DAYS('My trades'!G5,'My trades'!D5)</f>
        <v>307</v>
      </c>
      <c r="C5" s="41">
        <f>ROUND(('Database iniziale'!H5-'Database iniziale'!F5)*'Database iniziale'!E5,5)</f>
        <v>0.36765999999999999</v>
      </c>
      <c r="E5" s="43" t="s">
        <v>286</v>
      </c>
      <c r="F5" s="36">
        <v>100</v>
      </c>
      <c r="H5" s="36">
        <f t="shared" si="1"/>
        <v>330</v>
      </c>
      <c r="I5" s="46">
        <v>28</v>
      </c>
      <c r="J5" s="36">
        <f t="shared" si="0"/>
        <v>0.26078393486826834</v>
      </c>
    </row>
    <row r="6" spans="1:10">
      <c r="A6" s="40" t="str">
        <f>'Database iniziale'!A6</f>
        <v>bbjeprsq</v>
      </c>
      <c r="B6" s="38">
        <f>_xlfn.DAYS('My trades'!G6,'My trades'!D6)</f>
        <v>626</v>
      </c>
      <c r="C6" s="41">
        <f>ROUND(('Database iniziale'!H6-'Database iniziale'!F6)*'Database iniziale'!E6,5)</f>
        <v>-3.1851099999999999</v>
      </c>
      <c r="H6" s="36">
        <f t="shared" si="1"/>
        <v>430</v>
      </c>
      <c r="I6" s="46">
        <v>26</v>
      </c>
      <c r="J6" s="36">
        <f t="shared" si="0"/>
        <v>0.78549593394728467</v>
      </c>
    </row>
    <row r="7" spans="1:10">
      <c r="A7" s="40" t="str">
        <f>'Database iniziale'!A7</f>
        <v>bcizkhng</v>
      </c>
      <c r="B7" s="38">
        <f>_xlfn.DAYS('My trades'!G7,'My trades'!D7)</f>
        <v>440</v>
      </c>
      <c r="C7" s="41">
        <f>ROUND(('Database iniziale'!H7-'Database iniziale'!F7)*'Database iniziale'!E7,5)</f>
        <v>0.67427999999999999</v>
      </c>
      <c r="E7" s="44"/>
      <c r="H7" s="36">
        <f t="shared" si="1"/>
        <v>530</v>
      </c>
      <c r="I7" s="46">
        <v>25</v>
      </c>
      <c r="J7" s="36">
        <f t="shared" si="0"/>
        <v>0.48246634231497426</v>
      </c>
    </row>
    <row r="8" spans="1:10">
      <c r="A8" s="40" t="str">
        <f>'Database iniziale'!A8</f>
        <v>bdkloegq</v>
      </c>
      <c r="B8" s="38">
        <f>_xlfn.DAYS('My trades'!G8,'My trades'!D8)</f>
        <v>430</v>
      </c>
      <c r="C8" s="41">
        <f>ROUND(('Database iniziale'!H8-'Database iniziale'!F8)*'Database iniziale'!E8,5)</f>
        <v>0.91937999999999998</v>
      </c>
      <c r="E8" s="48" t="s">
        <v>268</v>
      </c>
      <c r="F8" s="47"/>
      <c r="H8" s="36">
        <f t="shared" si="1"/>
        <v>630</v>
      </c>
      <c r="I8" s="46">
        <v>31</v>
      </c>
      <c r="J8" s="36">
        <f t="shared" si="0"/>
        <v>0.46460088710321146</v>
      </c>
    </row>
    <row r="9" spans="1:10">
      <c r="A9" s="40" t="str">
        <f>'Database iniziale'!A9</f>
        <v>beszhcyh</v>
      </c>
      <c r="B9" s="38">
        <f>_xlfn.DAYS('My trades'!G9,'My trades'!D9)</f>
        <v>407</v>
      </c>
      <c r="C9" s="41">
        <f>ROUND(('Database iniziale'!H9-'Database iniziale'!F9)*'Database iniziale'!E9,5)</f>
        <v>1.01268</v>
      </c>
      <c r="H9" s="36">
        <f t="shared" si="1"/>
        <v>730</v>
      </c>
      <c r="I9" s="46">
        <v>23</v>
      </c>
      <c r="J9" s="36">
        <f t="shared" si="0"/>
        <v>0.42383824794209546</v>
      </c>
    </row>
    <row r="10" spans="1:10">
      <c r="A10" s="40" t="str">
        <f>'Database iniziale'!A10</f>
        <v>bjfxoyxb</v>
      </c>
      <c r="B10" s="38">
        <f>_xlfn.DAYS('My trades'!G10,'My trades'!D10)</f>
        <v>573</v>
      </c>
      <c r="C10" s="41">
        <f>ROUND(('Database iniziale'!H10-'Database iniziale'!F10)*'Database iniziale'!E10,5)</f>
        <v>1.3264100000000001</v>
      </c>
      <c r="E10" s="36" t="s">
        <v>270</v>
      </c>
      <c r="F10" s="36">
        <v>449.79500000000002</v>
      </c>
      <c r="H10" s="36">
        <f t="shared" si="1"/>
        <v>830</v>
      </c>
      <c r="I10" s="46">
        <v>22</v>
      </c>
      <c r="J10" s="36">
        <f t="shared" si="0"/>
        <v>0.70986877772623258</v>
      </c>
    </row>
    <row r="11" spans="1:10">
      <c r="A11" s="40" t="str">
        <f>'Database iniziale'!A11</f>
        <v>bpjmrhjo</v>
      </c>
      <c r="B11" s="38">
        <f>_xlfn.DAYS('My trades'!G11,'My trades'!D11)</f>
        <v>400</v>
      </c>
      <c r="C11" s="41">
        <f>ROUND(('Database iniziale'!H11-'Database iniziale'!F11)*'Database iniziale'!E11,5)</f>
        <v>1.0623800000000001</v>
      </c>
      <c r="E11" s="36" t="s">
        <v>271</v>
      </c>
      <c r="F11" s="36">
        <v>15.753864162651535</v>
      </c>
      <c r="H11" s="36">
        <f>F3</f>
        <v>862</v>
      </c>
      <c r="I11" s="46">
        <v>4</v>
      </c>
      <c r="J11" s="36">
        <f t="shared" si="0"/>
        <v>0.41157196708218374</v>
      </c>
    </row>
    <row r="12" spans="1:10">
      <c r="A12" s="40" t="str">
        <f>'Database iniziale'!A12</f>
        <v>brxwzrct</v>
      </c>
      <c r="B12" s="38">
        <f>_xlfn.DAYS('My trades'!G12,'My trades'!D12)</f>
        <v>589</v>
      </c>
      <c r="C12" s="41">
        <f>ROUND(('Database iniziale'!H12-'Database iniziale'!F12)*'Database iniziale'!E12,5)</f>
        <v>0.47933999999999999</v>
      </c>
      <c r="E12" s="36" t="s">
        <v>272</v>
      </c>
      <c r="F12" s="36">
        <v>444</v>
      </c>
      <c r="J12" s="36">
        <f t="shared" si="0"/>
        <v>0.73395436828992455</v>
      </c>
    </row>
    <row r="13" spans="1:10">
      <c r="A13" s="40" t="str">
        <f>'Database iniziale'!A13</f>
        <v>bumcnvke</v>
      </c>
      <c r="B13" s="38">
        <f>_xlfn.DAYS('My trades'!G13,'My trades'!D13)</f>
        <v>488</v>
      </c>
      <c r="C13" s="41">
        <f>ROUND(('Database iniziale'!H13-'Database iniziale'!F13)*'Database iniziale'!E13,5)</f>
        <v>1.3598600000000001</v>
      </c>
      <c r="E13" s="36" t="s">
        <v>274</v>
      </c>
      <c r="F13" s="36">
        <v>623</v>
      </c>
      <c r="J13" s="36">
        <f t="shared" si="0"/>
        <v>0.56807754184164194</v>
      </c>
    </row>
    <row r="14" spans="1:10">
      <c r="A14" s="40" t="str">
        <f>'Database iniziale'!A14</f>
        <v>cesjzpbs</v>
      </c>
      <c r="B14" s="38">
        <f>_xlfn.DAYS('My trades'!G14,'My trades'!D14)</f>
        <v>109</v>
      </c>
      <c r="C14" s="41">
        <f>ROUND(('Database iniziale'!H14-'Database iniziale'!F14)*'Database iniziale'!E14,5)</f>
        <v>2.9151699999999998</v>
      </c>
      <c r="E14" s="36" t="s">
        <v>273</v>
      </c>
      <c r="F14" s="36">
        <v>222.79328358605264</v>
      </c>
      <c r="J14" s="36">
        <f t="shared" si="0"/>
        <v>6.3052107801330901E-2</v>
      </c>
    </row>
    <row r="15" spans="1:10">
      <c r="A15" s="40" t="str">
        <f>'Database iniziale'!A15</f>
        <v>cetffxgx</v>
      </c>
      <c r="B15" s="38">
        <f>_xlfn.DAYS('My trades'!G15,'My trades'!D15)</f>
        <v>668</v>
      </c>
      <c r="C15" s="41">
        <f>ROUND(('Database iniziale'!H15-'Database iniziale'!F15)*'Database iniziale'!E15,5)</f>
        <v>0.52361999999999997</v>
      </c>
      <c r="E15" s="36" t="s">
        <v>275</v>
      </c>
      <c r="F15" s="36">
        <v>49636.847211055268</v>
      </c>
      <c r="J15" s="36">
        <f t="shared" si="0"/>
        <v>0.83631020592584371</v>
      </c>
    </row>
    <row r="16" spans="1:10">
      <c r="A16" s="40" t="str">
        <f>'Database iniziale'!A16</f>
        <v>chhqshvn</v>
      </c>
      <c r="B16" s="38">
        <f>_xlfn.DAYS('My trades'!G16,'My trades'!D16)</f>
        <v>267</v>
      </c>
      <c r="C16" s="41">
        <f>ROUND(('Database iniziale'!H16-'Database iniziale'!F16)*'Database iniziale'!E16,5)</f>
        <v>-0.37739</v>
      </c>
      <c r="E16" s="36" t="s">
        <v>276</v>
      </c>
      <c r="F16" s="36">
        <v>-1.1250561132433863</v>
      </c>
      <c r="J16" s="36">
        <f t="shared" si="0"/>
        <v>0.20597437497636367</v>
      </c>
    </row>
    <row r="17" spans="1:13">
      <c r="A17" s="40" t="str">
        <f>'Database iniziale'!A17</f>
        <v>ciykrilb</v>
      </c>
      <c r="B17" s="38">
        <f>_xlfn.DAYS('My trades'!G17,'My trades'!D17)</f>
        <v>78</v>
      </c>
      <c r="C17" s="41">
        <f>ROUND(('Database iniziale'!H17-'Database iniziale'!F17)*'Database iniziale'!E17,5)</f>
        <v>-4.0381799999999997</v>
      </c>
      <c r="E17" s="36" t="s">
        <v>277</v>
      </c>
      <c r="F17" s="36">
        <v>-2.2790044038262916E-2</v>
      </c>
      <c r="J17" s="36">
        <f t="shared" si="0"/>
        <v>4.7579593250984001E-2</v>
      </c>
    </row>
    <row r="18" spans="1:13">
      <c r="A18" s="40" t="str">
        <f>'Database iniziale'!A18</f>
        <v>cnitsbpk</v>
      </c>
      <c r="B18" s="38">
        <f>_xlfn.DAYS('My trades'!G18,'My trades'!D18)</f>
        <v>762</v>
      </c>
      <c r="C18" s="41">
        <f>ROUND(('Database iniziale'!H18-'Database iniziale'!F18)*'Database iniziale'!E18,5)</f>
        <v>-0.17044999999999999</v>
      </c>
      <c r="E18" s="36" t="s">
        <v>278</v>
      </c>
      <c r="F18" s="36">
        <v>832</v>
      </c>
      <c r="J18" s="36">
        <f t="shared" si="0"/>
        <v>0.9194410103267886</v>
      </c>
    </row>
    <row r="19" spans="1:13">
      <c r="A19" s="40" t="str">
        <f>'Database iniziale'!A19</f>
        <v>cntrbotn</v>
      </c>
      <c r="B19" s="38">
        <f>_xlfn.DAYS('My trades'!G19,'My trades'!D19)</f>
        <v>623</v>
      </c>
      <c r="C19" s="41">
        <f>ROUND(('Database iniziale'!H19-'Database iniziale'!F19)*'Database iniziale'!E19,5)</f>
        <v>0.44281999999999999</v>
      </c>
      <c r="E19" s="36" t="s">
        <v>279</v>
      </c>
      <c r="F19" s="36">
        <v>30</v>
      </c>
      <c r="J19" s="36">
        <f t="shared" si="0"/>
        <v>0.78154587557738386</v>
      </c>
    </row>
    <row r="20" spans="1:13">
      <c r="A20" s="40" t="str">
        <f>'Database iniziale'!A20</f>
        <v>cwuqczya</v>
      </c>
      <c r="B20" s="38">
        <f>_xlfn.DAYS('My trades'!G20,'My trades'!D20)</f>
        <v>862</v>
      </c>
      <c r="C20" s="41">
        <f>ROUND(('Database iniziale'!H20-'Database iniziale'!F20)*'Database iniziale'!E20,5)</f>
        <v>0.29609000000000002</v>
      </c>
      <c r="E20" s="36" t="s">
        <v>280</v>
      </c>
      <c r="F20" s="36">
        <v>862</v>
      </c>
      <c r="J20" s="36">
        <f t="shared" si="0"/>
        <v>0.9678553289590075</v>
      </c>
      <c r="M20" s="42"/>
    </row>
    <row r="21" spans="1:13">
      <c r="A21" s="40" t="str">
        <f>'Database iniziale'!A21</f>
        <v>cymioqte</v>
      </c>
      <c r="B21" s="38">
        <f>_xlfn.DAYS('My trades'!G21,'My trades'!D21)</f>
        <v>634</v>
      </c>
      <c r="C21" s="41">
        <f>ROUND(('Database iniziale'!H21-'Database iniziale'!F21)*'Database iniziale'!E21,5)</f>
        <v>0.30170000000000002</v>
      </c>
      <c r="E21" s="36" t="s">
        <v>281</v>
      </c>
      <c r="F21" s="36">
        <v>89959</v>
      </c>
      <c r="J21" s="36">
        <f t="shared" si="0"/>
        <v>0.79582416556248048</v>
      </c>
      <c r="M21" s="42"/>
    </row>
    <row r="22" spans="1:13">
      <c r="A22" s="40" t="str">
        <f>'Database iniziale'!A22</f>
        <v>dcnexoao</v>
      </c>
      <c r="B22" s="38">
        <f>_xlfn.DAYS('My trades'!G22,'My trades'!D22)</f>
        <v>546</v>
      </c>
      <c r="C22" s="41">
        <f>ROUND(('Database iniziale'!H22-'Database iniziale'!F22)*'Database iniziale'!E22,5)</f>
        <v>-0.61275999999999997</v>
      </c>
      <c r="E22" s="36" t="s">
        <v>282</v>
      </c>
      <c r="F22" s="36">
        <v>200</v>
      </c>
      <c r="J22" s="36">
        <f t="shared" si="0"/>
        <v>0.6670612758378992</v>
      </c>
      <c r="M22" s="42"/>
    </row>
    <row r="23" spans="1:13">
      <c r="A23" s="40" t="str">
        <f>'Database iniziale'!A23</f>
        <v>dcplrgaa</v>
      </c>
      <c r="B23" s="38">
        <f>_xlfn.DAYS('My trades'!G23,'My trades'!D23)</f>
        <v>708</v>
      </c>
      <c r="C23" s="41">
        <f>ROUND(('Database iniziale'!H23-'Database iniziale'!F23)*'Database iniziale'!E23,5)</f>
        <v>-2.5885500000000001</v>
      </c>
      <c r="J23" s="36">
        <f t="shared" si="0"/>
        <v>0.87676054945768678</v>
      </c>
      <c r="M23" s="42"/>
    </row>
    <row r="24" spans="1:13">
      <c r="A24" s="40" t="str">
        <f>'Database iniziale'!A24</f>
        <v>dieionnl</v>
      </c>
      <c r="B24" s="38">
        <f>_xlfn.DAYS('My trades'!G24,'My trades'!D24)</f>
        <v>547</v>
      </c>
      <c r="C24" s="41">
        <f>ROUND(('Database iniziale'!H24-'Database iniziale'!F24)*'Database iniziale'!E24,5)</f>
        <v>0.76109000000000004</v>
      </c>
      <c r="J24" s="36">
        <f t="shared" si="0"/>
        <v>0.66869093180947914</v>
      </c>
      <c r="M24" s="42"/>
    </row>
    <row r="25" spans="1:13">
      <c r="A25" s="40" t="str">
        <f>'Database iniziale'!A25</f>
        <v>dlgsjszn</v>
      </c>
      <c r="B25" s="38">
        <f>_xlfn.DAYS('My trades'!G25,'My trades'!D25)</f>
        <v>237</v>
      </c>
      <c r="C25" s="41">
        <f>ROUND(('Database iniziale'!H25-'Database iniziale'!F25)*'Database iniziale'!E25,5)</f>
        <v>0.44719999999999999</v>
      </c>
      <c r="J25" s="36">
        <f t="shared" si="0"/>
        <v>0.16975773748345369</v>
      </c>
    </row>
    <row r="26" spans="1:13">
      <c r="A26" s="40" t="str">
        <f>'Database iniziale'!A26</f>
        <v>dpaxyvrx</v>
      </c>
      <c r="B26" s="38">
        <f>_xlfn.DAYS('My trades'!G26,'My trades'!D26)</f>
        <v>51</v>
      </c>
      <c r="C26" s="41">
        <f>ROUND(('Database iniziale'!H26-'Database iniziale'!F26)*'Database iniziale'!E26,5)</f>
        <v>-0.32528000000000001</v>
      </c>
      <c r="J26" s="36">
        <f t="shared" si="0"/>
        <v>3.6728751576747688E-2</v>
      </c>
    </row>
    <row r="27" spans="1:13">
      <c r="A27" s="40" t="str">
        <f>'Database iniziale'!A27</f>
        <v>dspetbsq</v>
      </c>
      <c r="B27" s="38">
        <f>_xlfn.DAYS('My trades'!G27,'My trades'!D27)</f>
        <v>207</v>
      </c>
      <c r="C27" s="41">
        <f>ROUND(('Database iniziale'!H27-'Database iniziale'!F27)*'Database iniziale'!E27,5)</f>
        <v>-5.4295299999999997</v>
      </c>
      <c r="J27" s="36">
        <f t="shared" si="0"/>
        <v>0.13790569017132268</v>
      </c>
    </row>
    <row r="28" spans="1:13">
      <c r="A28" s="40" t="str">
        <f>'Database iniziale'!A28</f>
        <v>ebkkmqbi</v>
      </c>
      <c r="B28" s="38">
        <f>_xlfn.DAYS('My trades'!G28,'My trades'!D28)</f>
        <v>465</v>
      </c>
      <c r="C28" s="41">
        <f>ROUND(('Database iniziale'!H28-'Database iniziale'!F28)*'Database iniziale'!E28,5)</f>
        <v>-3.85351</v>
      </c>
      <c r="J28" s="36">
        <f t="shared" si="0"/>
        <v>0.52720554104826478</v>
      </c>
    </row>
    <row r="29" spans="1:13">
      <c r="A29" s="40" t="str">
        <f>'Database iniziale'!A29</f>
        <v>egvfikiy</v>
      </c>
      <c r="B29" s="38">
        <f>_xlfn.DAYS('My trades'!G29,'My trades'!D29)</f>
        <v>557</v>
      </c>
      <c r="C29" s="41">
        <f>ROUND(('Database iniziale'!H29-'Database iniziale'!F29)*'Database iniziale'!E29,5)</f>
        <v>-7.6960000000000001E-2</v>
      </c>
      <c r="J29" s="36">
        <f t="shared" si="0"/>
        <v>0.68480783068157247</v>
      </c>
    </row>
    <row r="30" spans="1:13">
      <c r="A30" s="40" t="str">
        <f>'Database iniziale'!A30</f>
        <v>eknpqcge</v>
      </c>
      <c r="B30" s="38">
        <f>_xlfn.DAYS('My trades'!G30,'My trades'!D30)</f>
        <v>513</v>
      </c>
      <c r="C30" s="41">
        <f>ROUND(('Database iniziale'!H30-'Database iniziale'!F30)*'Database iniziale'!E30,5)</f>
        <v>2.4323999999999999</v>
      </c>
      <c r="J30" s="36">
        <f t="shared" si="0"/>
        <v>0.61167735078759855</v>
      </c>
    </row>
    <row r="31" spans="1:13">
      <c r="A31" s="40" t="str">
        <f>'Database iniziale'!A31</f>
        <v>ekteqlhb</v>
      </c>
      <c r="B31" s="38">
        <f>_xlfn.DAYS('My trades'!G31,'My trades'!D31)</f>
        <v>686</v>
      </c>
      <c r="C31" s="41">
        <f>ROUND(('Database iniziale'!H31-'Database iniziale'!F31)*'Database iniziale'!E31,5)</f>
        <v>0.15329000000000001</v>
      </c>
      <c r="J31" s="36">
        <f t="shared" si="0"/>
        <v>0.85547274105707571</v>
      </c>
    </row>
    <row r="32" spans="1:13">
      <c r="A32" s="40" t="str">
        <f>'Database iniziale'!A32</f>
        <v>emjmheht</v>
      </c>
      <c r="B32" s="38">
        <f>_xlfn.DAYS('My trades'!G32,'My trades'!D32)</f>
        <v>387</v>
      </c>
      <c r="C32" s="41">
        <f>ROUND(('Database iniziale'!H32-'Database iniziale'!F32)*'Database iniziale'!E32,5)</f>
        <v>5.7730499999999996</v>
      </c>
      <c r="J32" s="36">
        <f t="shared" si="0"/>
        <v>0.3890280379373825</v>
      </c>
    </row>
    <row r="33" spans="1:10">
      <c r="A33" s="40" t="str">
        <f>'Database iniziale'!A33</f>
        <v>eodhevfz</v>
      </c>
      <c r="B33" s="38">
        <f>_xlfn.DAYS('My trades'!G33,'My trades'!D33)</f>
        <v>795</v>
      </c>
      <c r="C33" s="41">
        <f>ROUND(('Database iniziale'!H33-'Database iniziale'!F33)*'Database iniziale'!E33,5)</f>
        <v>5.8835699999999997</v>
      </c>
      <c r="J33" s="36">
        <f t="shared" si="0"/>
        <v>0.93936210195998149</v>
      </c>
    </row>
    <row r="34" spans="1:10">
      <c r="A34" s="40" t="str">
        <f>'Database iniziale'!A34</f>
        <v>ewzlrcco</v>
      </c>
      <c r="B34" s="38">
        <f>_xlfn.DAYS('My trades'!G34,'My trades'!D34)</f>
        <v>499</v>
      </c>
      <c r="C34" s="41">
        <f>ROUND(('Database iniziale'!H34-'Database iniziale'!F34)*'Database iniziale'!E34,5)</f>
        <v>2.99763</v>
      </c>
      <c r="J34" s="36">
        <f t="shared" ref="J34:J65" si="2">_xlfn.NORM.DIST(B34,$F$10,$F$14,TRUE)</f>
        <v>0.58739731290585717</v>
      </c>
    </row>
    <row r="35" spans="1:10">
      <c r="A35" s="40" t="str">
        <f>'Database iniziale'!A35</f>
        <v>fenldjbq</v>
      </c>
      <c r="B35" s="38">
        <f>_xlfn.DAYS('My trades'!G35,'My trades'!D35)</f>
        <v>607</v>
      </c>
      <c r="C35" s="41">
        <f>ROUND(('Database iniziale'!H35-'Database iniziale'!F35)*'Database iniziale'!E35,5)</f>
        <v>-2.75928</v>
      </c>
      <c r="J35" s="36">
        <f t="shared" si="2"/>
        <v>0.75978441243641459</v>
      </c>
    </row>
    <row r="36" spans="1:10">
      <c r="A36" s="40" t="str">
        <f>'Database iniziale'!A36</f>
        <v>fipcayvv</v>
      </c>
      <c r="B36" s="38">
        <f>_xlfn.DAYS('My trades'!G36,'My trades'!D36)</f>
        <v>434</v>
      </c>
      <c r="C36" s="41">
        <f>ROUND(('Database iniziale'!H36-'Database iniziale'!F36)*'Database iniziale'!E36,5)</f>
        <v>-0.62412000000000001</v>
      </c>
      <c r="J36" s="36">
        <f t="shared" si="2"/>
        <v>0.4717405360769284</v>
      </c>
    </row>
    <row r="37" spans="1:10">
      <c r="A37" s="40" t="str">
        <f>'Database iniziale'!A37</f>
        <v>fjcdzhde</v>
      </c>
      <c r="B37" s="38">
        <f>_xlfn.DAYS('My trades'!G37,'My trades'!D37)</f>
        <v>851</v>
      </c>
      <c r="C37" s="41">
        <f>ROUND(('Database iniziale'!H37-'Database iniziale'!F37)*'Database iniziale'!E37,5)</f>
        <v>-1.4878899999999999</v>
      </c>
      <c r="J37" s="36">
        <f t="shared" si="2"/>
        <v>0.96413239035868381</v>
      </c>
    </row>
    <row r="38" spans="1:10">
      <c r="A38" s="40" t="str">
        <f>'Database iniziale'!A38</f>
        <v>fjhbimle</v>
      </c>
      <c r="B38" s="38">
        <f>_xlfn.DAYS('My trades'!G38,'My trades'!D38)</f>
        <v>130</v>
      </c>
      <c r="C38" s="41">
        <f>ROUND(('Database iniziale'!H38-'Database iniziale'!F38)*'Database iniziale'!E38,5)</f>
        <v>-0.41919000000000001</v>
      </c>
      <c r="J38" s="36">
        <f t="shared" si="2"/>
        <v>7.5588157639796885E-2</v>
      </c>
    </row>
    <row r="39" spans="1:10">
      <c r="A39" s="40" t="str">
        <f>'Database iniziale'!A39</f>
        <v>fkgjitio</v>
      </c>
      <c r="B39" s="38">
        <f>_xlfn.DAYS('My trades'!G39,'My trades'!D39)</f>
        <v>448</v>
      </c>
      <c r="C39" s="41">
        <f>ROUND(('Database iniziale'!H39-'Database iniziale'!F39)*'Database iniziale'!E39,5)</f>
        <v>-2.2252399999999999</v>
      </c>
      <c r="J39" s="36">
        <f t="shared" si="2"/>
        <v>0.49678583826849509</v>
      </c>
    </row>
    <row r="40" spans="1:10">
      <c r="A40" s="40" t="str">
        <f>'Database iniziale'!A40</f>
        <v>frlnnmpc</v>
      </c>
      <c r="B40" s="38">
        <f>_xlfn.DAYS('My trades'!G40,'My trades'!D40)</f>
        <v>482</v>
      </c>
      <c r="C40" s="41">
        <f>ROUND(('Database iniziale'!H40-'Database iniziale'!F40)*'Database iniziale'!E40,5)</f>
        <v>-4.8240699999999999</v>
      </c>
      <c r="J40" s="36">
        <f t="shared" si="2"/>
        <v>0.55746732073636607</v>
      </c>
    </row>
    <row r="41" spans="1:10">
      <c r="A41" s="40" t="str">
        <f>'Database iniziale'!A41</f>
        <v>fucpzbpk</v>
      </c>
      <c r="B41" s="38">
        <f>_xlfn.DAYS('My trades'!G41,'My trades'!D41)</f>
        <v>71</v>
      </c>
      <c r="C41" s="41">
        <f>ROUND(('Database iniziale'!H41-'Database iniziale'!F41)*'Database iniziale'!E41,5)</f>
        <v>-1.6706700000000001</v>
      </c>
      <c r="J41" s="36">
        <f t="shared" si="2"/>
        <v>4.4545871557699034E-2</v>
      </c>
    </row>
    <row r="42" spans="1:10">
      <c r="A42" s="40" t="str">
        <f>'Database iniziale'!A42</f>
        <v>fzpkolfu</v>
      </c>
      <c r="B42" s="38">
        <f>_xlfn.DAYS('My trades'!G42,'My trades'!D42)</f>
        <v>743</v>
      </c>
      <c r="C42" s="41">
        <f>ROUND(('Database iniziale'!H42-'Database iniziale'!F42)*'Database iniziale'!E42,5)</f>
        <v>2.0811099999999998</v>
      </c>
      <c r="J42" s="36">
        <f t="shared" si="2"/>
        <v>0.9059197869772313</v>
      </c>
    </row>
    <row r="43" spans="1:10">
      <c r="A43" s="40" t="str">
        <f>'Database iniziale'!A43</f>
        <v>gcndrwci</v>
      </c>
      <c r="B43" s="38">
        <f>_xlfn.DAYS('My trades'!G43,'My trades'!D43)</f>
        <v>106</v>
      </c>
      <c r="C43" s="41">
        <f>ROUND(('Database iniziale'!H43-'Database iniziale'!F43)*'Database iniziale'!E43,5)</f>
        <v>1.7198</v>
      </c>
      <c r="J43" s="36">
        <f t="shared" si="2"/>
        <v>6.1401796069812858E-2</v>
      </c>
    </row>
    <row r="44" spans="1:10">
      <c r="A44" s="40" t="str">
        <f>'Database iniziale'!A44</f>
        <v>gfiuzniq</v>
      </c>
      <c r="B44" s="38">
        <f>_xlfn.DAYS('My trades'!G44,'My trades'!D44)</f>
        <v>277</v>
      </c>
      <c r="C44" s="41">
        <f>ROUND(('Database iniziale'!H44-'Database iniziale'!F44)*'Database iniziale'!E44,5)</f>
        <v>5.6557300000000001</v>
      </c>
      <c r="J44" s="36">
        <f t="shared" si="2"/>
        <v>0.21899720072153353</v>
      </c>
    </row>
    <row r="45" spans="1:10">
      <c r="A45" s="40" t="str">
        <f>'Database iniziale'!A45</f>
        <v>giuqiukz</v>
      </c>
      <c r="B45" s="38">
        <f>_xlfn.DAYS('My trades'!G45,'My trades'!D45)</f>
        <v>227</v>
      </c>
      <c r="C45" s="41">
        <f>ROUND(('Database iniziale'!H45-'Database iniziale'!F45)*'Database iniziale'!E45,5)</f>
        <v>-0.55471000000000004</v>
      </c>
      <c r="J45" s="36">
        <f t="shared" si="2"/>
        <v>0.15865338978043819</v>
      </c>
    </row>
    <row r="46" spans="1:10">
      <c r="A46" s="40" t="str">
        <f>'Database iniziale'!A46</f>
        <v>gnghjpok</v>
      </c>
      <c r="B46" s="38">
        <f>_xlfn.DAYS('My trades'!G46,'My trades'!D46)</f>
        <v>707</v>
      </c>
      <c r="C46" s="41">
        <f>ROUND(('Database iniziale'!H46-'Database iniziale'!F46)*'Database iniziale'!E46,5)</f>
        <v>-5.0188699999999997</v>
      </c>
      <c r="J46" s="36">
        <f t="shared" si="2"/>
        <v>0.87584332661520781</v>
      </c>
    </row>
    <row r="47" spans="1:10">
      <c r="A47" s="40" t="str">
        <f>'Database iniziale'!A47</f>
        <v>goxmkirb</v>
      </c>
      <c r="B47" s="38">
        <f>_xlfn.DAYS('My trades'!G47,'My trades'!D47)</f>
        <v>730</v>
      </c>
      <c r="C47" s="41">
        <f>ROUND(('Database iniziale'!H47-'Database iniziale'!F47)*'Database iniziale'!E47,5)</f>
        <v>-0.35893999999999998</v>
      </c>
      <c r="J47" s="36">
        <f t="shared" si="2"/>
        <v>0.89574814842203421</v>
      </c>
    </row>
    <row r="48" spans="1:10">
      <c r="A48" s="40" t="str">
        <f>'Database iniziale'!A48</f>
        <v>gsarsxnf</v>
      </c>
      <c r="B48" s="38">
        <f>_xlfn.DAYS('My trades'!G48,'My trades'!D48)</f>
        <v>326</v>
      </c>
      <c r="C48" s="41">
        <f>ROUND(('Database iniziale'!H48-'Database iniziale'!F48)*'Database iniziale'!E48,5)</f>
        <v>-6.5528899999999997</v>
      </c>
      <c r="J48" s="36">
        <f t="shared" si="2"/>
        <v>0.28922520684631464</v>
      </c>
    </row>
    <row r="49" spans="1:10">
      <c r="A49" s="40" t="str">
        <f>'Database iniziale'!A49</f>
        <v>hafqyymf</v>
      </c>
      <c r="B49" s="38">
        <f>_xlfn.DAYS('My trades'!G49,'My trades'!D49)</f>
        <v>588</v>
      </c>
      <c r="C49" s="41">
        <f>ROUND(('Database iniziale'!H49-'Database iniziale'!F49)*'Database iniziale'!E49,5)</f>
        <v>-3.3286199999999999</v>
      </c>
      <c r="J49" s="36">
        <f t="shared" si="2"/>
        <v>0.73247919785649884</v>
      </c>
    </row>
    <row r="50" spans="1:10">
      <c r="A50" s="40" t="str">
        <f>'Database iniziale'!A50</f>
        <v>hdpggnqd</v>
      </c>
      <c r="B50" s="38">
        <f>_xlfn.DAYS('My trades'!G50,'My trades'!D50)</f>
        <v>524</v>
      </c>
      <c r="C50" s="41">
        <f>ROUND(('Database iniziale'!H50-'Database iniziale'!F50)*'Database iniziale'!E50,5)</f>
        <v>1.8146599999999999</v>
      </c>
      <c r="J50" s="36">
        <f t="shared" si="2"/>
        <v>0.6304579921732405</v>
      </c>
    </row>
    <row r="51" spans="1:10">
      <c r="A51" s="40" t="str">
        <f>'Database iniziale'!A51</f>
        <v>hdslpwul</v>
      </c>
      <c r="B51" s="38">
        <f>_xlfn.DAYS('My trades'!G51,'My trades'!D51)</f>
        <v>428</v>
      </c>
      <c r="C51" s="41">
        <f>ROUND(('Database iniziale'!H51-'Database iniziale'!F51)*'Database iniziale'!E51,5)</f>
        <v>2.0751499999999998</v>
      </c>
      <c r="J51" s="36">
        <f t="shared" si="2"/>
        <v>0.46103518749573469</v>
      </c>
    </row>
    <row r="52" spans="1:10">
      <c r="A52" s="40" t="str">
        <f>'Database iniziale'!A52</f>
        <v>heuzjzpi</v>
      </c>
      <c r="B52" s="38">
        <f>_xlfn.DAYS('My trades'!G52,'My trades'!D52)</f>
        <v>615</v>
      </c>
      <c r="C52" s="41">
        <f>ROUND(('Database iniziale'!H52-'Database iniziale'!F52)*'Database iniziale'!E52,5)</f>
        <v>-1.5872900000000001</v>
      </c>
      <c r="J52" s="36">
        <f t="shared" si="2"/>
        <v>0.77080997608809787</v>
      </c>
    </row>
    <row r="53" spans="1:10">
      <c r="A53" s="40" t="str">
        <f>'Database iniziale'!A53</f>
        <v>hfdavabb</v>
      </c>
      <c r="B53" s="38">
        <f>_xlfn.DAYS('My trades'!G53,'My trades'!D53)</f>
        <v>622</v>
      </c>
      <c r="C53" s="41">
        <f>ROUND(('Database iniziale'!H53-'Database iniziale'!F53)*'Database iniziale'!E53,5)</f>
        <v>-0.30381999999999998</v>
      </c>
      <c r="J53" s="36">
        <f t="shared" si="2"/>
        <v>0.78021993818392965</v>
      </c>
    </row>
    <row r="54" spans="1:10">
      <c r="A54" s="40" t="str">
        <f>'Database iniziale'!A54</f>
        <v>hfjghpbq</v>
      </c>
      <c r="B54" s="38">
        <f>_xlfn.DAYS('My trades'!G54,'My trades'!D54)</f>
        <v>635</v>
      </c>
      <c r="C54" s="41">
        <f>ROUND(('Database iniziale'!H54-'Database iniziale'!F54)*'Database iniziale'!E54,5)</f>
        <v>6.5021300000000002</v>
      </c>
      <c r="J54" s="36">
        <f t="shared" si="2"/>
        <v>0.79709403839412862</v>
      </c>
    </row>
    <row r="55" spans="1:10">
      <c r="A55" s="40" t="str">
        <f>'Database iniziale'!A55</f>
        <v>hflsqchs</v>
      </c>
      <c r="B55" s="38">
        <f>_xlfn.DAYS('My trades'!G55,'My trades'!D55)</f>
        <v>324</v>
      </c>
      <c r="C55" s="41">
        <f>ROUND(('Database iniziale'!H55-'Database iniziale'!F55)*'Database iniziale'!E55,5)</f>
        <v>1.11151</v>
      </c>
      <c r="J55" s="36">
        <f t="shared" si="2"/>
        <v>0.2861639060240031</v>
      </c>
    </row>
    <row r="56" spans="1:10">
      <c r="A56" s="40" t="str">
        <f>'Database iniziale'!A56</f>
        <v>hfwtmipz</v>
      </c>
      <c r="B56" s="38">
        <f>_xlfn.DAYS('My trades'!G56,'My trades'!D56)</f>
        <v>162</v>
      </c>
      <c r="C56" s="41">
        <f>ROUND(('Database iniziale'!H56-'Database iniziale'!F56)*'Database iniziale'!E56,5)</f>
        <v>2.8245200000000001</v>
      </c>
      <c r="J56" s="36">
        <f t="shared" si="2"/>
        <v>9.8220487246137786E-2</v>
      </c>
    </row>
    <row r="57" spans="1:10">
      <c r="A57" s="40" t="str">
        <f>'Database iniziale'!A57</f>
        <v>hkesgmfj</v>
      </c>
      <c r="B57" s="38">
        <f>_xlfn.DAYS('My trades'!G57,'My trades'!D57)</f>
        <v>793</v>
      </c>
      <c r="C57" s="41">
        <f>ROUND(('Database iniziale'!H57-'Database iniziale'!F57)*'Database iniziale'!E57,5)</f>
        <v>2.27088</v>
      </c>
      <c r="J57" s="36">
        <f t="shared" si="2"/>
        <v>0.9382763363300145</v>
      </c>
    </row>
    <row r="58" spans="1:10">
      <c r="A58" s="40" t="str">
        <f>'Database iniziale'!A58</f>
        <v>hmtiybmi</v>
      </c>
      <c r="B58" s="38">
        <f>_xlfn.DAYS('My trades'!G58,'My trades'!D58)</f>
        <v>344</v>
      </c>
      <c r="C58" s="41">
        <f>ROUND(('Database iniziale'!H58-'Database iniziale'!F58)*'Database iniziale'!E58,5)</f>
        <v>1.2820400000000001</v>
      </c>
      <c r="J58" s="36">
        <f t="shared" si="2"/>
        <v>0.31744437148789761</v>
      </c>
    </row>
    <row r="59" spans="1:10">
      <c r="A59" s="40" t="str">
        <f>'Database iniziale'!A59</f>
        <v>hnmvqkxv</v>
      </c>
      <c r="B59" s="38">
        <f>_xlfn.DAYS('My trades'!G59,'My trades'!D59)</f>
        <v>609</v>
      </c>
      <c r="C59" s="41">
        <f>ROUND(('Database iniziale'!H59-'Database iniziale'!F59)*'Database iniziale'!E59,5)</f>
        <v>-2.6608200000000002</v>
      </c>
      <c r="J59" s="36">
        <f t="shared" si="2"/>
        <v>0.76256760458053352</v>
      </c>
    </row>
    <row r="60" spans="1:10">
      <c r="A60" s="40" t="str">
        <f>'Database iniziale'!A60</f>
        <v>hpvfzslv</v>
      </c>
      <c r="B60" s="38">
        <f>_xlfn.DAYS('My trades'!G60,'My trades'!D60)</f>
        <v>30</v>
      </c>
      <c r="C60" s="41">
        <f>ROUND(('Database iniziale'!H60-'Database iniziale'!F60)*'Database iniziale'!E60,5)</f>
        <v>1.1391500000000001</v>
      </c>
      <c r="J60" s="36">
        <f t="shared" si="2"/>
        <v>2.9766568088785975E-2</v>
      </c>
    </row>
    <row r="61" spans="1:10">
      <c r="A61" s="40" t="str">
        <f>'Database iniziale'!A61</f>
        <v>hrfilyua</v>
      </c>
      <c r="B61" s="38">
        <f>_xlfn.DAYS('My trades'!G61,'My trades'!D61)</f>
        <v>644</v>
      </c>
      <c r="C61" s="41">
        <f>ROUND(('Database iniziale'!H61-'Database iniziale'!F61)*'Database iniziale'!E61,5)</f>
        <v>1.1964600000000001</v>
      </c>
      <c r="J61" s="36">
        <f t="shared" si="2"/>
        <v>0.80830918726365009</v>
      </c>
    </row>
    <row r="62" spans="1:10">
      <c r="A62" s="40" t="str">
        <f>'Database iniziale'!A62</f>
        <v>hutszssu</v>
      </c>
      <c r="B62" s="38">
        <f>_xlfn.DAYS('My trades'!G62,'My trades'!D62)</f>
        <v>705</v>
      </c>
      <c r="C62" s="41">
        <f>ROUND(('Database iniziale'!H62-'Database iniziale'!F62)*'Database iniziale'!E62,5)</f>
        <v>-4.44998</v>
      </c>
      <c r="J62" s="36">
        <f t="shared" si="2"/>
        <v>0.87399457944624159</v>
      </c>
    </row>
    <row r="63" spans="1:10">
      <c r="A63" s="40" t="str">
        <f>'Database iniziale'!A63</f>
        <v>iagrfath</v>
      </c>
      <c r="B63" s="38">
        <f>_xlfn.DAYS('My trades'!G63,'My trades'!D63)</f>
        <v>181</v>
      </c>
      <c r="C63" s="41">
        <f>ROUND(('Database iniziale'!H63-'Database iniziale'!F63)*'Database iniziale'!E63,5)</f>
        <v>0.4007</v>
      </c>
      <c r="J63" s="36">
        <f t="shared" si="2"/>
        <v>0.11381678722033335</v>
      </c>
    </row>
    <row r="64" spans="1:10">
      <c r="A64" s="40" t="str">
        <f>'Database iniziale'!A64</f>
        <v>icbmbfqb</v>
      </c>
      <c r="B64" s="38">
        <f>_xlfn.DAYS('My trades'!G64,'My trades'!D64)</f>
        <v>617</v>
      </c>
      <c r="C64" s="41">
        <f>ROUND(('Database iniziale'!H64-'Database iniziale'!F64)*'Database iniziale'!E64,5)</f>
        <v>-4.9242600000000003</v>
      </c>
      <c r="J64" s="36">
        <f t="shared" si="2"/>
        <v>0.77352135145630152</v>
      </c>
    </row>
    <row r="65" spans="1:10">
      <c r="A65" s="40" t="str">
        <f>'Database iniziale'!A65</f>
        <v>icgddrqk</v>
      </c>
      <c r="B65" s="38">
        <f>_xlfn.DAYS('My trades'!G65,'My trades'!D65)</f>
        <v>281</v>
      </c>
      <c r="C65" s="41">
        <f>ROUND(('Database iniziale'!H65-'Database iniziale'!F65)*'Database iniziale'!E65,5)</f>
        <v>0.56354000000000004</v>
      </c>
      <c r="J65" s="36">
        <f t="shared" si="2"/>
        <v>0.22433609028744392</v>
      </c>
    </row>
    <row r="66" spans="1:10">
      <c r="A66" s="40" t="str">
        <f>'Database iniziale'!A66</f>
        <v>ifomvwpk</v>
      </c>
      <c r="B66" s="38">
        <f>_xlfn.DAYS('My trades'!G66,'My trades'!D66)</f>
        <v>688</v>
      </c>
      <c r="C66" s="41">
        <f>ROUND(('Database iniziale'!H66-'Database iniziale'!F66)*'Database iniziale'!E66,5)</f>
        <v>-3.0700000000000002E-2</v>
      </c>
      <c r="J66" s="36">
        <f t="shared" ref="J66:J97" si="3">_xlfn.NORM.DIST(B66,$F$10,$F$14,TRUE)</f>
        <v>0.85750458016488218</v>
      </c>
    </row>
    <row r="67" spans="1:10">
      <c r="A67" s="40" t="str">
        <f>'Database iniziale'!A67</f>
        <v>ifskxsgr</v>
      </c>
      <c r="B67" s="38">
        <f>_xlfn.DAYS('My trades'!G67,'My trades'!D67)</f>
        <v>355</v>
      </c>
      <c r="C67" s="41">
        <f>ROUND(('Database iniziale'!H67-'Database iniziale'!F67)*'Database iniziale'!E67,5)</f>
        <v>-0.57038999999999995</v>
      </c>
      <c r="J67" s="36">
        <f t="shared" si="3"/>
        <v>0.33524190460881842</v>
      </c>
    </row>
    <row r="68" spans="1:10">
      <c r="A68" s="40" t="str">
        <f>'Database iniziale'!A68</f>
        <v>ivnpgban</v>
      </c>
      <c r="B68" s="38">
        <f>_xlfn.DAYS('My trades'!G68,'My trades'!D68)</f>
        <v>257</v>
      </c>
      <c r="C68" s="41">
        <f>ROUND(('Database iniziale'!H68-'Database iniziale'!F68)*'Database iniziale'!E68,5)</f>
        <v>-0.42779</v>
      </c>
      <c r="J68" s="36">
        <f t="shared" si="3"/>
        <v>0.19342233307406859</v>
      </c>
    </row>
    <row r="69" spans="1:10">
      <c r="A69" s="40" t="str">
        <f>'Database iniziale'!A69</f>
        <v>iztdnkqz</v>
      </c>
      <c r="B69" s="38">
        <f>_xlfn.DAYS('My trades'!G69,'My trades'!D69)</f>
        <v>204</v>
      </c>
      <c r="C69" s="41">
        <f>ROUND(('Database iniziale'!H69-'Database iniziale'!F69)*'Database iniziale'!E69,5)</f>
        <v>-2.5716000000000001</v>
      </c>
      <c r="J69" s="36">
        <f t="shared" si="3"/>
        <v>0.13496095342579423</v>
      </c>
    </row>
    <row r="70" spans="1:10">
      <c r="A70" s="40" t="str">
        <f>'Database iniziale'!A70</f>
        <v>jarhgmub</v>
      </c>
      <c r="B70" s="38">
        <f>_xlfn.DAYS('My trades'!G70,'My trades'!D70)</f>
        <v>88</v>
      </c>
      <c r="C70" s="41">
        <f>ROUND(('Database iniziale'!H70-'Database iniziale'!F70)*'Database iniziale'!E70,5)</f>
        <v>0.43585000000000002</v>
      </c>
      <c r="J70" s="36">
        <f t="shared" si="3"/>
        <v>5.2198103573280946E-2</v>
      </c>
    </row>
    <row r="71" spans="1:10">
      <c r="A71" s="40" t="str">
        <f>'Database iniziale'!A71</f>
        <v>jgrpnvil</v>
      </c>
      <c r="B71" s="38">
        <f>_xlfn.DAYS('My trades'!G71,'My trades'!D71)</f>
        <v>467</v>
      </c>
      <c r="C71" s="41">
        <f>ROUND(('Database iniziale'!H71-'Database iniziale'!F71)*'Database iniziale'!E71,5)</f>
        <v>0.47005999999999998</v>
      </c>
      <c r="J71" s="36">
        <f t="shared" si="3"/>
        <v>0.53077734576712587</v>
      </c>
    </row>
    <row r="72" spans="1:10">
      <c r="A72" s="40" t="str">
        <f>'Database iniziale'!A72</f>
        <v>jhrvrggo</v>
      </c>
      <c r="B72" s="38">
        <f>_xlfn.DAYS('My trades'!G72,'My trades'!D72)</f>
        <v>222</v>
      </c>
      <c r="C72" s="41">
        <f>ROUND(('Database iniziale'!H72-'Database iniziale'!F72)*'Database iniziale'!E72,5)</f>
        <v>7.8789999999999999E-2</v>
      </c>
      <c r="J72" s="36">
        <f t="shared" si="3"/>
        <v>0.15328397535069677</v>
      </c>
    </row>
    <row r="73" spans="1:10">
      <c r="A73" s="40" t="str">
        <f>'Database iniziale'!A73</f>
        <v>jszxcuxx</v>
      </c>
      <c r="B73" s="38">
        <f>_xlfn.DAYS('My trades'!G73,'My trades'!D73)</f>
        <v>244</v>
      </c>
      <c r="C73" s="41">
        <f>ROUND(('Database iniziale'!H73-'Database iniziale'!F73)*'Database iniziale'!E73,5)</f>
        <v>6.7107799999999997</v>
      </c>
      <c r="J73" s="36">
        <f t="shared" si="3"/>
        <v>0.17782027966583888</v>
      </c>
    </row>
    <row r="74" spans="1:10">
      <c r="A74" s="40" t="str">
        <f>'Database iniziale'!A74</f>
        <v>jvcllvko</v>
      </c>
      <c r="B74" s="38">
        <f>_xlfn.DAYS('My trades'!G74,'My trades'!D74)</f>
        <v>310</v>
      </c>
      <c r="C74" s="41">
        <f>ROUND(('Database iniziale'!H74-'Database iniziale'!F74)*'Database iniziale'!E74,5)</f>
        <v>-1.3307899999999999</v>
      </c>
      <c r="J74" s="36">
        <f t="shared" si="3"/>
        <v>0.26517721776751635</v>
      </c>
    </row>
    <row r="75" spans="1:10">
      <c r="A75" s="40" t="str">
        <f>'Database iniziale'!A75</f>
        <v>jxgqnvpx</v>
      </c>
      <c r="B75" s="38">
        <f>_xlfn.DAYS('My trades'!G75,'My trades'!D75)</f>
        <v>510</v>
      </c>
      <c r="C75" s="41">
        <f>ROUND(('Database iniziale'!H75-'Database iniziale'!F75)*'Database iniziale'!E75,5)</f>
        <v>3.6786799999999999</v>
      </c>
      <c r="J75" s="36">
        <f t="shared" si="3"/>
        <v>0.60650760217980271</v>
      </c>
    </row>
    <row r="76" spans="1:10">
      <c r="A76" s="40" t="str">
        <f>'Database iniziale'!A76</f>
        <v>jyrrbwon</v>
      </c>
      <c r="B76" s="38">
        <f>_xlfn.DAYS('My trades'!G76,'My trades'!D76)</f>
        <v>294</v>
      </c>
      <c r="C76" s="41">
        <f>ROUND(('Database iniziale'!H76-'Database iniziale'!F76)*'Database iniziale'!E76,5)</f>
        <v>-0.14737</v>
      </c>
      <c r="J76" s="36">
        <f t="shared" si="3"/>
        <v>0.24218837373188173</v>
      </c>
    </row>
    <row r="77" spans="1:10">
      <c r="A77" s="40" t="str">
        <f>'Database iniziale'!A77</f>
        <v>kcqqvvon</v>
      </c>
      <c r="B77" s="38">
        <f>_xlfn.DAYS('My trades'!G77,'My trades'!D77)</f>
        <v>229</v>
      </c>
      <c r="C77" s="41">
        <f>ROUND(('Database iniziale'!H77-'Database iniziale'!F77)*'Database iniziale'!E77,5)</f>
        <v>-2.1369099999999999</v>
      </c>
      <c r="J77" s="36">
        <f t="shared" si="3"/>
        <v>0.16083527712614881</v>
      </c>
    </row>
    <row r="78" spans="1:10">
      <c r="A78" s="40" t="str">
        <f>'Database iniziale'!A78</f>
        <v>kdxpqsjj</v>
      </c>
      <c r="B78" s="38">
        <f>_xlfn.DAYS('My trades'!G78,'My trades'!D78)</f>
        <v>568</v>
      </c>
      <c r="C78" s="41">
        <f>ROUND(('Database iniziale'!H78-'Database iniziale'!F78)*'Database iniziale'!E78,5)</f>
        <v>-1.61269</v>
      </c>
      <c r="J78" s="36">
        <f t="shared" si="3"/>
        <v>0.702137821542131</v>
      </c>
    </row>
    <row r="79" spans="1:10">
      <c r="A79" s="40" t="str">
        <f>'Database iniziale'!A79</f>
        <v>kltxxoqv</v>
      </c>
      <c r="B79" s="38">
        <f>_xlfn.DAYS('My trades'!G79,'My trades'!D79)</f>
        <v>682</v>
      </c>
      <c r="C79" s="41">
        <f>ROUND(('Database iniziale'!H79-'Database iniziale'!F79)*'Database iniziale'!E79,5)</f>
        <v>-2.61775</v>
      </c>
      <c r="J79" s="36">
        <f t="shared" si="3"/>
        <v>0.85135075434718366</v>
      </c>
    </row>
    <row r="80" spans="1:10">
      <c r="A80" s="40" t="str">
        <f>'Database iniziale'!A80</f>
        <v>kmlcsefq</v>
      </c>
      <c r="B80" s="38">
        <f>_xlfn.DAYS('My trades'!G80,'My trades'!D80)</f>
        <v>199</v>
      </c>
      <c r="C80" s="41">
        <f>ROUND(('Database iniziale'!H80-'Database iniziale'!F80)*'Database iniziale'!E80,5)</f>
        <v>-0.20086000000000001</v>
      </c>
      <c r="J80" s="36">
        <f t="shared" si="3"/>
        <v>0.13014949213125832</v>
      </c>
    </row>
    <row r="81" spans="1:10">
      <c r="A81" s="40" t="str">
        <f>'Database iniziale'!A81</f>
        <v>knifvikn</v>
      </c>
      <c r="B81" s="38">
        <f>_xlfn.DAYS('My trades'!G81,'My trades'!D81)</f>
        <v>714</v>
      </c>
      <c r="C81" s="41">
        <f>ROUND(('Database iniziale'!H81-'Database iniziale'!F81)*'Database iniziale'!E81,5)</f>
        <v>0.62502000000000002</v>
      </c>
      <c r="J81" s="36">
        <f t="shared" si="3"/>
        <v>0.8821641794782209</v>
      </c>
    </row>
    <row r="82" spans="1:10">
      <c r="A82" s="40" t="str">
        <f>'Database iniziale'!A82</f>
        <v>knrhgdai</v>
      </c>
      <c r="B82" s="38">
        <f>_xlfn.DAYS('My trades'!G82,'My trades'!D82)</f>
        <v>407</v>
      </c>
      <c r="C82" s="41">
        <f>ROUND(('Database iniziale'!H82-'Database iniziale'!F82)*'Database iniziale'!E82,5)</f>
        <v>-0.37735999999999997</v>
      </c>
      <c r="J82" s="36">
        <f t="shared" si="3"/>
        <v>0.42383824794209546</v>
      </c>
    </row>
    <row r="83" spans="1:10">
      <c r="A83" s="40" t="str">
        <f>'Database iniziale'!A83</f>
        <v>koqfbdwf</v>
      </c>
      <c r="B83" s="38">
        <f>_xlfn.DAYS('My trades'!G83,'My trades'!D83)</f>
        <v>722</v>
      </c>
      <c r="C83" s="41">
        <f>ROUND(('Database iniziale'!H83-'Database iniziale'!F83)*'Database iniziale'!E83,5)</f>
        <v>1.32985</v>
      </c>
      <c r="J83" s="36">
        <f t="shared" si="3"/>
        <v>0.88910511113114632</v>
      </c>
    </row>
    <row r="84" spans="1:10">
      <c r="A84" s="40" t="str">
        <f>'Database iniziale'!A84</f>
        <v>kpoujdyl</v>
      </c>
      <c r="B84" s="38">
        <f>_xlfn.DAYS('My trades'!G84,'My trades'!D84)</f>
        <v>351</v>
      </c>
      <c r="C84" s="41">
        <f>ROUND(('Database iniziale'!H84-'Database iniziale'!F84)*'Database iniziale'!E84,5)</f>
        <v>0.12175</v>
      </c>
      <c r="J84" s="36">
        <f t="shared" si="3"/>
        <v>0.32872449071782628</v>
      </c>
    </row>
    <row r="85" spans="1:10">
      <c r="A85" s="40" t="str">
        <f>'Database iniziale'!A85</f>
        <v>kqbdcljv</v>
      </c>
      <c r="B85" s="38">
        <f>_xlfn.DAYS('My trades'!G85,'My trades'!D85)</f>
        <v>212</v>
      </c>
      <c r="C85" s="41">
        <f>ROUND(('Database iniziale'!H85-'Database iniziale'!F85)*'Database iniziale'!E85,5)</f>
        <v>1.32978</v>
      </c>
      <c r="J85" s="36">
        <f t="shared" si="3"/>
        <v>0.14291036458498646</v>
      </c>
    </row>
    <row r="86" spans="1:10">
      <c r="A86" s="40" t="str">
        <f>'Database iniziale'!A86</f>
        <v>krqkwnaw</v>
      </c>
      <c r="B86" s="38">
        <f>_xlfn.DAYS('My trades'!G86,'My trades'!D86)</f>
        <v>397</v>
      </c>
      <c r="C86" s="41">
        <f>ROUND(('Database iniziale'!H86-'Database iniziale'!F86)*'Database iniziale'!E86,5)</f>
        <v>-0.20186000000000001</v>
      </c>
      <c r="J86" s="36">
        <f t="shared" si="3"/>
        <v>0.40634059681206425</v>
      </c>
    </row>
    <row r="87" spans="1:10">
      <c r="A87" s="40" t="str">
        <f>'Database iniziale'!A87</f>
        <v>kwbxqlin</v>
      </c>
      <c r="B87" s="38">
        <f>_xlfn.DAYS('My trades'!G87,'My trades'!D87)</f>
        <v>207</v>
      </c>
      <c r="C87" s="41">
        <f>ROUND(('Database iniziale'!H87-'Database iniziale'!F87)*'Database iniziale'!E87,5)</f>
        <v>5.5166500000000003</v>
      </c>
      <c r="J87" s="36">
        <f t="shared" si="3"/>
        <v>0.13790569017132268</v>
      </c>
    </row>
    <row r="88" spans="1:10">
      <c r="A88" s="40" t="str">
        <f>'Database iniziale'!A88</f>
        <v>kweyaukr</v>
      </c>
      <c r="B88" s="38">
        <f>_xlfn.DAYS('My trades'!G88,'My trades'!D88)</f>
        <v>433</v>
      </c>
      <c r="C88" s="41">
        <f>ROUND(('Database iniziale'!H88-'Database iniziale'!F88)*'Database iniziale'!E88,5)</f>
        <v>0.45428000000000002</v>
      </c>
      <c r="J88" s="36">
        <f t="shared" si="3"/>
        <v>0.4699546818629653</v>
      </c>
    </row>
    <row r="89" spans="1:10">
      <c r="A89" s="40" t="str">
        <f>'Database iniziale'!A89</f>
        <v>ldjllwvy</v>
      </c>
      <c r="B89" s="38">
        <f>_xlfn.DAYS('My trades'!G89,'My trades'!D89)</f>
        <v>728</v>
      </c>
      <c r="C89" s="41">
        <f>ROUND(('Database iniziale'!H89-'Database iniziale'!F89)*'Database iniziale'!E89,5)</f>
        <v>-0.57965</v>
      </c>
      <c r="J89" s="36">
        <f t="shared" si="3"/>
        <v>0.89411507497589271</v>
      </c>
    </row>
    <row r="90" spans="1:10">
      <c r="A90" s="40" t="str">
        <f>'Database iniziale'!A90</f>
        <v>lenpuaop</v>
      </c>
      <c r="B90" s="38">
        <f>_xlfn.DAYS('My trades'!G90,'My trades'!D90)</f>
        <v>771</v>
      </c>
      <c r="C90" s="41">
        <f>ROUND(('Database iniziale'!H90-'Database iniziale'!F90)*'Database iniziale'!E90,5)</f>
        <v>0.87644999999999995</v>
      </c>
      <c r="J90" s="36">
        <f t="shared" si="3"/>
        <v>0.92530897295251036</v>
      </c>
    </row>
    <row r="91" spans="1:10">
      <c r="A91" s="40" t="str">
        <f>'Database iniziale'!A91</f>
        <v>lkxgzzvq</v>
      </c>
      <c r="B91" s="38">
        <f>_xlfn.DAYS('My trades'!G91,'My trades'!D91)</f>
        <v>747</v>
      </c>
      <c r="C91" s="41">
        <f>ROUND(('Database iniziale'!H91-'Database iniziale'!F91)*'Database iniziale'!E91,5)</f>
        <v>1.00892</v>
      </c>
      <c r="J91" s="36">
        <f t="shared" si="3"/>
        <v>0.90889715948861249</v>
      </c>
    </row>
    <row r="92" spans="1:10">
      <c r="A92" s="40" t="str">
        <f>'Database iniziale'!A92</f>
        <v>loffykcg</v>
      </c>
      <c r="B92" s="38">
        <f>_xlfn.DAYS('My trades'!G92,'My trades'!D92)</f>
        <v>751</v>
      </c>
      <c r="C92" s="41">
        <f>ROUND(('Database iniziale'!H92-'Database iniziale'!F92)*'Database iniziale'!E92,5)</f>
        <v>-0.89241999999999999</v>
      </c>
      <c r="J92" s="36">
        <f t="shared" si="3"/>
        <v>0.9118040719107583</v>
      </c>
    </row>
    <row r="93" spans="1:10">
      <c r="A93" s="40" t="str">
        <f>'Database iniziale'!A93</f>
        <v>lpzjhtkm</v>
      </c>
      <c r="B93" s="38">
        <f>_xlfn.DAYS('My trades'!G93,'My trades'!D93)</f>
        <v>436</v>
      </c>
      <c r="C93" s="41">
        <f>ROUND(('Database iniziale'!H93-'Database iniziale'!F93)*'Database iniziale'!E93,5)</f>
        <v>1.7072000000000001</v>
      </c>
      <c r="J93" s="36">
        <f t="shared" si="3"/>
        <v>0.47531391378964</v>
      </c>
    </row>
    <row r="94" spans="1:10">
      <c r="A94" s="40" t="str">
        <f>'Database iniziale'!A94</f>
        <v>maizvkuo</v>
      </c>
      <c r="B94" s="38">
        <f>_xlfn.DAYS('My trades'!G94,'My trades'!D94)</f>
        <v>609</v>
      </c>
      <c r="C94" s="41">
        <f>ROUND(('Database iniziale'!H94-'Database iniziale'!F94)*'Database iniziale'!E94,5)</f>
        <v>5.9999999999999995E-4</v>
      </c>
      <c r="J94" s="36">
        <f t="shared" si="3"/>
        <v>0.76256760458053352</v>
      </c>
    </row>
    <row r="95" spans="1:10">
      <c r="A95" s="40" t="str">
        <f>'Database iniziale'!A95</f>
        <v>mfdlyjqb</v>
      </c>
      <c r="B95" s="38">
        <f>_xlfn.DAYS('My trades'!G95,'My trades'!D95)</f>
        <v>758</v>
      </c>
      <c r="C95" s="41">
        <f>ROUND(('Database iniziale'!H95-'Database iniziale'!F95)*'Database iniziale'!E95,5)</f>
        <v>-0.44170999999999999</v>
      </c>
      <c r="J95" s="36">
        <f t="shared" si="3"/>
        <v>0.91672390317657748</v>
      </c>
    </row>
    <row r="96" spans="1:10">
      <c r="A96" s="40" t="str">
        <f>'Database iniziale'!A96</f>
        <v>mfwvjgje</v>
      </c>
      <c r="B96" s="38">
        <f>_xlfn.DAYS('My trades'!G96,'My trades'!D96)</f>
        <v>780</v>
      </c>
      <c r="C96" s="41">
        <f>ROUND(('Database iniziale'!H96-'Database iniziale'!F96)*'Database iniziale'!E96,5)</f>
        <v>-0.59646999999999994</v>
      </c>
      <c r="J96" s="36">
        <f t="shared" si="3"/>
        <v>0.93084499117798281</v>
      </c>
    </row>
    <row r="97" spans="1:10">
      <c r="A97" s="40" t="str">
        <f>'Database iniziale'!A97</f>
        <v>mghfyjbr</v>
      </c>
      <c r="B97" s="38">
        <f>_xlfn.DAYS('My trades'!G97,'My trades'!D97)</f>
        <v>241</v>
      </c>
      <c r="C97" s="41">
        <f>ROUND(('Database iniziale'!H97-'Database iniziale'!F97)*'Database iniziale'!E97,5)</f>
        <v>-1.51464</v>
      </c>
      <c r="J97" s="36">
        <f t="shared" si="3"/>
        <v>0.17433576897482633</v>
      </c>
    </row>
    <row r="98" spans="1:10">
      <c r="A98" s="40" t="str">
        <f>'Database iniziale'!A98</f>
        <v>mjbwcafl</v>
      </c>
      <c r="B98" s="38">
        <f>_xlfn.DAYS('My trades'!G98,'My trades'!D98)</f>
        <v>615</v>
      </c>
      <c r="C98" s="41">
        <f>ROUND(('Database iniziale'!H98-'Database iniziale'!F98)*'Database iniziale'!E98,5)</f>
        <v>-1.4938499999999999</v>
      </c>
      <c r="J98" s="36">
        <f t="shared" ref="J98:J129" si="4">_xlfn.NORM.DIST(B98,$F$10,$F$14,TRUE)</f>
        <v>0.77080997608809787</v>
      </c>
    </row>
    <row r="99" spans="1:10">
      <c r="A99" s="40" t="str">
        <f>'Database iniziale'!A99</f>
        <v>mjyuxzvj</v>
      </c>
      <c r="B99" s="38">
        <f>_xlfn.DAYS('My trades'!G99,'My trades'!D99)</f>
        <v>576</v>
      </c>
      <c r="C99" s="41">
        <f>ROUND(('Database iniziale'!H99-'Database iniziale'!F99)*'Database iniziale'!E99,5)</f>
        <v>0.15143000000000001</v>
      </c>
      <c r="J99" s="36">
        <f t="shared" si="4"/>
        <v>0.71446175449899452</v>
      </c>
    </row>
    <row r="100" spans="1:10">
      <c r="A100" s="40" t="str">
        <f>'Database iniziale'!A100</f>
        <v>mkxkerbr</v>
      </c>
      <c r="B100" s="38">
        <f>_xlfn.DAYS('My trades'!G100,'My trades'!D100)</f>
        <v>418</v>
      </c>
      <c r="C100" s="41">
        <f>ROUND(('Database iniziale'!H100-'Database iniziale'!F100)*'Database iniziale'!E100,5)</f>
        <v>-4.8619999999999997E-2</v>
      </c>
      <c r="J100" s="36">
        <f t="shared" si="4"/>
        <v>0.44325930714203321</v>
      </c>
    </row>
    <row r="101" spans="1:10">
      <c r="A101" s="40" t="str">
        <f>'Database iniziale'!A101</f>
        <v>mxmztjnk</v>
      </c>
      <c r="B101" s="38">
        <f>_xlfn.DAYS('My trades'!G101,'My trades'!D101)</f>
        <v>57</v>
      </c>
      <c r="C101" s="41">
        <f>ROUND(('Database iniziale'!H101-'Database iniziale'!F101)*'Database iniziale'!E101,5)</f>
        <v>1.1023000000000001</v>
      </c>
      <c r="J101" s="36">
        <f t="shared" si="4"/>
        <v>3.8946292955566668E-2</v>
      </c>
    </row>
    <row r="102" spans="1:10">
      <c r="A102" s="40" t="str">
        <f>'Database iniziale'!A102</f>
        <v>mxpzparg</v>
      </c>
      <c r="B102" s="38">
        <f>_xlfn.DAYS('My trades'!G102,'My trades'!D102)</f>
        <v>494</v>
      </c>
      <c r="C102" s="41">
        <f>ROUND(('Database iniziale'!H102-'Database iniziale'!F102)*'Database iniziale'!E102,5)</f>
        <v>-2.72254</v>
      </c>
      <c r="J102" s="36">
        <f t="shared" si="4"/>
        <v>0.57863887935822123</v>
      </c>
    </row>
    <row r="103" spans="1:10">
      <c r="A103" s="40" t="str">
        <f>'Database iniziale'!A103</f>
        <v>nheepbxg</v>
      </c>
      <c r="B103" s="38">
        <f>_xlfn.DAYS('My trades'!G103,'My trades'!D103)</f>
        <v>69</v>
      </c>
      <c r="C103" s="41">
        <f>ROUND(('Database iniziale'!H103-'Database iniziale'!F103)*'Database iniziale'!E103,5)</f>
        <v>-2.6947199999999998</v>
      </c>
      <c r="J103" s="36">
        <f t="shared" si="4"/>
        <v>4.3708317645376041E-2</v>
      </c>
    </row>
    <row r="104" spans="1:10">
      <c r="A104" s="40" t="str">
        <f>'Database iniziale'!A104</f>
        <v>njxhycea</v>
      </c>
      <c r="B104" s="38">
        <f>_xlfn.DAYS('My trades'!G104,'My trades'!D104)</f>
        <v>396</v>
      </c>
      <c r="C104" s="41">
        <f>ROUND(('Database iniziale'!H104-'Database iniziale'!F104)*'Database iniziale'!E104,5)</f>
        <v>3.3086700000000002</v>
      </c>
      <c r="J104" s="36">
        <f t="shared" si="4"/>
        <v>0.40460046612833783</v>
      </c>
    </row>
    <row r="105" spans="1:10">
      <c r="A105" s="40" t="str">
        <f>'Database iniziale'!A105</f>
        <v>nklszbdc</v>
      </c>
      <c r="B105" s="38">
        <f>_xlfn.DAYS('My trades'!G105,'My trades'!D105)</f>
        <v>392</v>
      </c>
      <c r="C105" s="41">
        <f>ROUND(('Database iniziale'!H105-'Database iniziale'!F105)*'Database iniziale'!E105,5)</f>
        <v>-5.08188</v>
      </c>
      <c r="J105" s="36">
        <f t="shared" si="4"/>
        <v>0.39765912100913048</v>
      </c>
    </row>
    <row r="106" spans="1:10">
      <c r="A106" s="40" t="str">
        <f>'Database iniziale'!A106</f>
        <v>nqgoiuik</v>
      </c>
      <c r="B106" s="38">
        <f>_xlfn.DAYS('My trades'!G106,'My trades'!D106)</f>
        <v>795</v>
      </c>
      <c r="C106" s="41">
        <f>ROUND(('Database iniziale'!H106-'Database iniziale'!F106)*'Database iniziale'!E106,5)</f>
        <v>0.35089999999999999</v>
      </c>
      <c r="J106" s="36">
        <f t="shared" si="4"/>
        <v>0.93936210195998149</v>
      </c>
    </row>
    <row r="107" spans="1:10">
      <c r="A107" s="40" t="str">
        <f>'Database iniziale'!A107</f>
        <v>nriklgrf</v>
      </c>
      <c r="B107" s="38">
        <f>_xlfn.DAYS('My trades'!G107,'My trades'!D107)</f>
        <v>623</v>
      </c>
      <c r="C107" s="41">
        <f>ROUND(('Database iniziale'!H107-'Database iniziale'!F107)*'Database iniziale'!E107,5)</f>
        <v>-1.76816</v>
      </c>
      <c r="J107" s="36">
        <f t="shared" si="4"/>
        <v>0.78154587557738386</v>
      </c>
    </row>
    <row r="108" spans="1:10">
      <c r="A108" s="40" t="str">
        <f>'Database iniziale'!A108</f>
        <v>nuleyiit</v>
      </c>
      <c r="B108" s="38">
        <f>_xlfn.DAYS('My trades'!G108,'My trades'!D108)</f>
        <v>126</v>
      </c>
      <c r="C108" s="41">
        <f>ROUND(('Database iniziale'!H108-'Database iniziale'!F108)*'Database iniziale'!E108,5)</f>
        <v>2.0673900000000001</v>
      </c>
      <c r="J108" s="36">
        <f t="shared" si="4"/>
        <v>7.3064308819134546E-2</v>
      </c>
    </row>
    <row r="109" spans="1:10">
      <c r="A109" s="40" t="str">
        <f>'Database iniziale'!A109</f>
        <v>nzyednpn</v>
      </c>
      <c r="B109" s="38">
        <f>_xlfn.DAYS('My trades'!G109,'My trades'!D109)</f>
        <v>163</v>
      </c>
      <c r="C109" s="41">
        <f>ROUND(('Database iniziale'!H109-'Database iniziale'!F109)*'Database iniziale'!E109,5)</f>
        <v>4.36233</v>
      </c>
      <c r="J109" s="36">
        <f t="shared" si="4"/>
        <v>9.9000184242757458E-2</v>
      </c>
    </row>
    <row r="110" spans="1:10">
      <c r="A110" s="40" t="str">
        <f>'Database iniziale'!A110</f>
        <v>ogszgnpm</v>
      </c>
      <c r="B110" s="38">
        <f>_xlfn.DAYS('My trades'!G110,'My trades'!D110)</f>
        <v>242</v>
      </c>
      <c r="C110" s="41">
        <f>ROUND(('Database iniziale'!H110-'Database iniziale'!F110)*'Database iniziale'!E110,5)</f>
        <v>0.18643000000000001</v>
      </c>
      <c r="J110" s="36">
        <f t="shared" si="4"/>
        <v>0.175492421344698</v>
      </c>
    </row>
    <row r="111" spans="1:10">
      <c r="A111" s="40" t="str">
        <f>'Database iniziale'!A111</f>
        <v>ohtzxhrm</v>
      </c>
      <c r="B111" s="38">
        <f>_xlfn.DAYS('My trades'!G111,'My trades'!D111)</f>
        <v>791</v>
      </c>
      <c r="C111" s="41">
        <f>ROUND(('Database iniziale'!H111-'Database iniziale'!F111)*'Database iniziale'!E111,5)</f>
        <v>-3.1962600000000001</v>
      </c>
      <c r="J111" s="36">
        <f t="shared" si="4"/>
        <v>0.93717545184589157</v>
      </c>
    </row>
    <row r="112" spans="1:10">
      <c r="A112" s="40" t="str">
        <f>'Database iniziale'!A112</f>
        <v>olnjegug</v>
      </c>
      <c r="B112" s="38">
        <f>_xlfn.DAYS('My trades'!G112,'My trades'!D112)</f>
        <v>271</v>
      </c>
      <c r="C112" s="41">
        <f>ROUND(('Database iniziale'!H112-'Database iniziale'!F112)*'Database iniziale'!E112,5)</f>
        <v>-2.2984399999999998</v>
      </c>
      <c r="J112" s="36">
        <f t="shared" si="4"/>
        <v>0.21112749523239063</v>
      </c>
    </row>
    <row r="113" spans="1:10">
      <c r="A113" s="40" t="str">
        <f>'Database iniziale'!A113</f>
        <v>oplgqwal</v>
      </c>
      <c r="B113" s="38">
        <f>_xlfn.DAYS('My trades'!G113,'My trades'!D113)</f>
        <v>42</v>
      </c>
      <c r="C113" s="41">
        <f>ROUND(('Database iniziale'!H113-'Database iniziale'!F113)*'Database iniziale'!E113,5)</f>
        <v>-6.4196099999999996</v>
      </c>
      <c r="J113" s="36">
        <f t="shared" si="4"/>
        <v>3.3597027689952465E-2</v>
      </c>
    </row>
    <row r="114" spans="1:10">
      <c r="A114" s="40" t="str">
        <f>'Database iniziale'!A114</f>
        <v>orgnwenh</v>
      </c>
      <c r="B114" s="38">
        <f>_xlfn.DAYS('My trades'!G114,'My trades'!D114)</f>
        <v>375</v>
      </c>
      <c r="C114" s="41">
        <f>ROUND(('Database iniziale'!H114-'Database iniziale'!F114)*'Database iniziale'!E114,5)</f>
        <v>0.51729000000000003</v>
      </c>
      <c r="J114" s="36">
        <f t="shared" si="4"/>
        <v>0.36854297654224344</v>
      </c>
    </row>
    <row r="115" spans="1:10">
      <c r="A115" s="40" t="str">
        <f>'Database iniziale'!A115</f>
        <v>ossshndu</v>
      </c>
      <c r="B115" s="38">
        <f>_xlfn.DAYS('My trades'!G115,'My trades'!D115)</f>
        <v>715</v>
      </c>
      <c r="C115" s="41">
        <f>ROUND(('Database iniziale'!H115-'Database iniziale'!F115)*'Database iniziale'!E115,5)</f>
        <v>-4.2086199999999998</v>
      </c>
      <c r="J115" s="36">
        <f t="shared" si="4"/>
        <v>0.88304823005398325</v>
      </c>
    </row>
    <row r="116" spans="1:10">
      <c r="A116" s="40" t="str">
        <f>'Database iniziale'!A116</f>
        <v>pberstsl</v>
      </c>
      <c r="B116" s="38">
        <f>_xlfn.DAYS('My trades'!G116,'My trades'!D116)</f>
        <v>534</v>
      </c>
      <c r="C116" s="41">
        <f>ROUND(('Database iniziale'!H116-'Database iniziale'!F116)*'Database iniziale'!E116,5)</f>
        <v>-0.24632000000000001</v>
      </c>
      <c r="J116" s="36">
        <f t="shared" si="4"/>
        <v>0.64726659533519526</v>
      </c>
    </row>
    <row r="117" spans="1:10">
      <c r="A117" s="40" t="str">
        <f>'Database iniziale'!A117</f>
        <v>pcifviip</v>
      </c>
      <c r="B117" s="38">
        <f>_xlfn.DAYS('My trades'!G117,'My trades'!D117)</f>
        <v>417</v>
      </c>
      <c r="C117" s="41">
        <f>ROUND(('Database iniziale'!H117-'Database iniziale'!F117)*'Database iniziale'!E117,5)</f>
        <v>-3.0400200000000002</v>
      </c>
      <c r="J117" s="36">
        <f t="shared" si="4"/>
        <v>0.44148738380781405</v>
      </c>
    </row>
    <row r="118" spans="1:10">
      <c r="A118" s="40" t="str">
        <f>'Database iniziale'!A118</f>
        <v>pnsxdhqo</v>
      </c>
      <c r="B118" s="38">
        <f>_xlfn.DAYS('My trades'!G118,'My trades'!D118)</f>
        <v>361</v>
      </c>
      <c r="C118" s="41">
        <f>ROUND(('Database iniziale'!H118-'Database iniziale'!F118)*'Database iniziale'!E118,5)</f>
        <v>-0.14333000000000001</v>
      </c>
      <c r="J118" s="36">
        <f t="shared" si="4"/>
        <v>0.34511118613792602</v>
      </c>
    </row>
    <row r="119" spans="1:10">
      <c r="A119" s="40" t="str">
        <f>'Database iniziale'!A119</f>
        <v>poohpdwc</v>
      </c>
      <c r="B119" s="38">
        <f>_xlfn.DAYS('My trades'!G119,'My trades'!D119)</f>
        <v>308</v>
      </c>
      <c r="C119" s="41">
        <f>ROUND(('Database iniziale'!H119-'Database iniziale'!F119)*'Database iniziale'!E119,5)</f>
        <v>-3.6238000000000001</v>
      </c>
      <c r="J119" s="36">
        <f t="shared" si="4"/>
        <v>0.26224419098569657</v>
      </c>
    </row>
    <row r="120" spans="1:10">
      <c r="A120" s="40" t="str">
        <f>'Database iniziale'!A120</f>
        <v>pswtoazn</v>
      </c>
      <c r="B120" s="38">
        <f>_xlfn.DAYS('My trades'!G120,'My trades'!D120)</f>
        <v>184</v>
      </c>
      <c r="C120" s="41">
        <f>ROUND(('Database iniziale'!H120-'Database iniziale'!F120)*'Database iniziale'!E120,5)</f>
        <v>-0.62322999999999995</v>
      </c>
      <c r="J120" s="36">
        <f t="shared" si="4"/>
        <v>0.11643239018099746</v>
      </c>
    </row>
    <row r="121" spans="1:10">
      <c r="A121" s="40" t="str">
        <f>'Database iniziale'!A121</f>
        <v>pxkjcmpp</v>
      </c>
      <c r="B121" s="38">
        <f>_xlfn.DAYS('My trades'!G121,'My trades'!D121)</f>
        <v>445</v>
      </c>
      <c r="C121" s="41">
        <f>ROUND(('Database iniziale'!H121-'Database iniziale'!F121)*'Database iniziale'!E121,5)</f>
        <v>1.0467500000000001</v>
      </c>
      <c r="J121" s="36">
        <f t="shared" si="4"/>
        <v>0.49141455014077196</v>
      </c>
    </row>
    <row r="122" spans="1:10">
      <c r="A122" s="40" t="str">
        <f>'Database iniziale'!A122</f>
        <v>pxzcvvvv</v>
      </c>
      <c r="B122" s="38">
        <f>_xlfn.DAYS('My trades'!G122,'My trades'!D122)</f>
        <v>248</v>
      </c>
      <c r="C122" s="41">
        <f>ROUND(('Database iniziale'!H122-'Database iniziale'!F122)*'Database iniziale'!E122,5)</f>
        <v>1.3697900000000001</v>
      </c>
      <c r="J122" s="36">
        <f t="shared" si="4"/>
        <v>0.18253411531999533</v>
      </c>
    </row>
    <row r="123" spans="1:10">
      <c r="A123" s="40" t="str">
        <f>'Database iniziale'!A123</f>
        <v>pyljmfku</v>
      </c>
      <c r="B123" s="38">
        <f>_xlfn.DAYS('My trades'!G123,'My trades'!D123)</f>
        <v>58</v>
      </c>
      <c r="C123" s="41">
        <f>ROUND(('Database iniziale'!H123-'Database iniziale'!F123)*'Database iniziale'!E123,5)</f>
        <v>-3.7137799999999999</v>
      </c>
      <c r="J123" s="36">
        <f t="shared" si="4"/>
        <v>3.9326272139616446E-2</v>
      </c>
    </row>
    <row r="124" spans="1:10">
      <c r="A124" s="40" t="str">
        <f>'Database iniziale'!A124</f>
        <v>pysaclod</v>
      </c>
      <c r="B124" s="38">
        <f>_xlfn.DAYS('My trades'!G124,'My trades'!D124)</f>
        <v>604</v>
      </c>
      <c r="C124" s="41">
        <f>ROUND(('Database iniziale'!H124-'Database iniziale'!F124)*'Database iniziale'!E124,5)</f>
        <v>-2.5501299999999998</v>
      </c>
      <c r="J124" s="36">
        <f t="shared" si="4"/>
        <v>0.75557650029708689</v>
      </c>
    </row>
    <row r="125" spans="1:10">
      <c r="A125" s="40" t="str">
        <f>'Database iniziale'!A125</f>
        <v>pywztrno</v>
      </c>
      <c r="B125" s="38">
        <f>_xlfn.DAYS('My trades'!G125,'My trades'!D125)</f>
        <v>175</v>
      </c>
      <c r="C125" s="41">
        <f>ROUND(('Database iniziale'!H125-'Database iniziale'!F125)*'Database iniziale'!E125,5)</f>
        <v>-0.51702999999999999</v>
      </c>
      <c r="J125" s="36">
        <f t="shared" si="4"/>
        <v>0.10871180622083704</v>
      </c>
    </row>
    <row r="126" spans="1:10">
      <c r="A126" s="40" t="str">
        <f>'Database iniziale'!A126</f>
        <v>qdqbwhng</v>
      </c>
      <c r="B126" s="38">
        <f>_xlfn.DAYS('My trades'!G126,'My trades'!D126)</f>
        <v>741</v>
      </c>
      <c r="C126" s="41">
        <f>ROUND(('Database iniziale'!H126-'Database iniziale'!F126)*'Database iniziale'!E126,5)</f>
        <v>2.6392600000000002</v>
      </c>
      <c r="J126" s="36">
        <f t="shared" si="4"/>
        <v>0.90440445048609197</v>
      </c>
    </row>
    <row r="127" spans="1:10">
      <c r="A127" s="40" t="str">
        <f>'Database iniziale'!A127</f>
        <v>qexyofhb</v>
      </c>
      <c r="B127" s="38">
        <f>_xlfn.DAYS('My trades'!G127,'My trades'!D127)</f>
        <v>152</v>
      </c>
      <c r="C127" s="41">
        <f>ROUND(('Database iniziale'!H127-'Database iniziale'!F127)*'Database iniziale'!E127,5)</f>
        <v>-0.54186999999999996</v>
      </c>
      <c r="J127" s="36">
        <f t="shared" si="4"/>
        <v>9.0669658772303055E-2</v>
      </c>
    </row>
    <row r="128" spans="1:10">
      <c r="A128" s="40" t="str">
        <f>'Database iniziale'!A128</f>
        <v>qhprzdnb</v>
      </c>
      <c r="B128" s="38">
        <f>_xlfn.DAYS('My trades'!G128,'My trades'!D128)</f>
        <v>610</v>
      </c>
      <c r="C128" s="41">
        <f>ROUND(('Database iniziale'!H128-'Database iniziale'!F128)*'Database iniziale'!E128,5)</f>
        <v>0.50583</v>
      </c>
      <c r="J128" s="36">
        <f t="shared" si="4"/>
        <v>0.76395253383683637</v>
      </c>
    </row>
    <row r="129" spans="1:10">
      <c r="A129" s="40" t="str">
        <f>'Database iniziale'!A129</f>
        <v>qklyndfp</v>
      </c>
      <c r="B129" s="38">
        <f>_xlfn.DAYS('My trades'!G129,'My trades'!D129)</f>
        <v>406</v>
      </c>
      <c r="C129" s="41">
        <f>ROUND(('Database iniziale'!H129-'Database iniziale'!F129)*'Database iniziale'!E129,5)</f>
        <v>-0.99109000000000003</v>
      </c>
      <c r="J129" s="36">
        <f t="shared" si="4"/>
        <v>0.42208110376102714</v>
      </c>
    </row>
    <row r="130" spans="1:10">
      <c r="A130" s="40" t="str">
        <f>'Database iniziale'!A130</f>
        <v>qonnwndv</v>
      </c>
      <c r="B130" s="38">
        <f>_xlfn.DAYS('My trades'!G130,'My trades'!D130)</f>
        <v>756</v>
      </c>
      <c r="C130" s="41">
        <f>ROUND(('Database iniziale'!H130-'Database iniziale'!F130)*'Database iniziale'!E130,5)</f>
        <v>0.58689999999999998</v>
      </c>
      <c r="J130" s="36">
        <f t="shared" ref="J130:J161" si="5">_xlfn.NORM.DIST(B130,$F$10,$F$14,TRUE)</f>
        <v>0.91533977727982274</v>
      </c>
    </row>
    <row r="131" spans="1:10">
      <c r="A131" s="40" t="str">
        <f>'Database iniziale'!A131</f>
        <v>rcmrnpig</v>
      </c>
      <c r="B131" s="38">
        <f>_xlfn.DAYS('My trades'!G131,'My trades'!D131)</f>
        <v>818</v>
      </c>
      <c r="C131" s="41">
        <f>ROUND(('Database iniziale'!H131-'Database iniziale'!F131)*'Database iniziale'!E131,5)</f>
        <v>7.17218</v>
      </c>
      <c r="J131" s="36">
        <f t="shared" si="5"/>
        <v>0.95080153778322873</v>
      </c>
    </row>
    <row r="132" spans="1:10">
      <c r="A132" s="40" t="str">
        <f>'Database iniziale'!A132</f>
        <v>rfngluke</v>
      </c>
      <c r="B132" s="38">
        <f>_xlfn.DAYS('My trades'!G132,'My trades'!D132)</f>
        <v>329</v>
      </c>
      <c r="C132" s="41">
        <f>ROUND(('Database iniziale'!H132-'Database iniziale'!F132)*'Database iniziale'!E132,5)</f>
        <v>0.40669</v>
      </c>
      <c r="J132" s="36">
        <f t="shared" si="5"/>
        <v>0.29384580657808718</v>
      </c>
    </row>
    <row r="133" spans="1:10">
      <c r="A133" s="40" t="str">
        <f>'Database iniziale'!A133</f>
        <v>rgbcrwet</v>
      </c>
      <c r="B133" s="38">
        <f>_xlfn.DAYS('My trades'!G133,'My trades'!D133)</f>
        <v>669</v>
      </c>
      <c r="C133" s="41">
        <f>ROUND(('Database iniziale'!H133-'Database iniziale'!F133)*'Database iniziale'!E133,5)</f>
        <v>-1.73186</v>
      </c>
      <c r="J133" s="36">
        <f t="shared" si="5"/>
        <v>0.83741621057881066</v>
      </c>
    </row>
    <row r="134" spans="1:10">
      <c r="A134" s="40" t="str">
        <f>'Database iniziale'!A134</f>
        <v>rkupdsbn</v>
      </c>
      <c r="B134" s="38">
        <f>_xlfn.DAYS('My trades'!G134,'My trades'!D134)</f>
        <v>694</v>
      </c>
      <c r="C134" s="41">
        <f>ROUND(('Database iniziale'!H134-'Database iniziale'!F134)*'Database iniziale'!E134,5)</f>
        <v>-0.22406000000000001</v>
      </c>
      <c r="J134" s="36">
        <f t="shared" si="5"/>
        <v>0.86348375148010181</v>
      </c>
    </row>
    <row r="135" spans="1:10">
      <c r="A135" s="40" t="str">
        <f>'Database iniziale'!A135</f>
        <v>rxbzlipl</v>
      </c>
      <c r="B135" s="38">
        <f>_xlfn.DAYS('My trades'!G135,'My trades'!D135)</f>
        <v>301</v>
      </c>
      <c r="C135" s="41">
        <f>ROUND(('Database iniziale'!H135-'Database iniziale'!F135)*'Database iniziale'!E135,5)</f>
        <v>-0.57816000000000001</v>
      </c>
      <c r="J135" s="36">
        <f t="shared" si="5"/>
        <v>0.25211108353062167</v>
      </c>
    </row>
    <row r="136" spans="1:10">
      <c r="A136" s="40" t="str">
        <f>'Database iniziale'!A136</f>
        <v>rypujago</v>
      </c>
      <c r="B136" s="38">
        <f>_xlfn.DAYS('My trades'!G136,'My trades'!D136)</f>
        <v>756</v>
      </c>
      <c r="C136" s="41">
        <f>ROUND(('Database iniziale'!H136-'Database iniziale'!F136)*'Database iniziale'!E136,5)</f>
        <v>-0.10408000000000001</v>
      </c>
      <c r="J136" s="36">
        <f t="shared" si="5"/>
        <v>0.91533977727982274</v>
      </c>
    </row>
    <row r="137" spans="1:10">
      <c r="A137" s="40" t="str">
        <f>'Database iniziale'!A137</f>
        <v>scoljxeg</v>
      </c>
      <c r="B137" s="38">
        <f>_xlfn.DAYS('My trades'!G137,'My trades'!D137)</f>
        <v>581</v>
      </c>
      <c r="C137" s="41">
        <f>ROUND(('Database iniziale'!H137-'Database iniziale'!F137)*'Database iniziale'!E137,5)</f>
        <v>5.4257299999999997</v>
      </c>
      <c r="J137" s="36">
        <f t="shared" si="5"/>
        <v>0.72203888539146677</v>
      </c>
    </row>
    <row r="138" spans="1:10">
      <c r="A138" s="40" t="str">
        <f>'Database iniziale'!A138</f>
        <v>seaeoiib</v>
      </c>
      <c r="B138" s="38">
        <f>_xlfn.DAYS('My trades'!G138,'My trades'!D138)</f>
        <v>169</v>
      </c>
      <c r="C138" s="41">
        <f>ROUND(('Database iniziale'!H138-'Database iniziale'!F138)*'Database iniziale'!E138,5)</f>
        <v>-1.35246</v>
      </c>
      <c r="J138" s="36">
        <f t="shared" si="5"/>
        <v>0.10377360034229909</v>
      </c>
    </row>
    <row r="139" spans="1:10">
      <c r="A139" s="40" t="str">
        <f>'Database iniziale'!A139</f>
        <v>sejklwar</v>
      </c>
      <c r="B139" s="38">
        <f>_xlfn.DAYS('My trades'!G139,'My trades'!D139)</f>
        <v>469</v>
      </c>
      <c r="C139" s="41">
        <f>ROUND(('Database iniziale'!H139-'Database iniziale'!F139)*'Database iniziale'!E139,5)</f>
        <v>2.6056900000000001</v>
      </c>
      <c r="J139" s="36">
        <f t="shared" si="5"/>
        <v>0.53434667526060431</v>
      </c>
    </row>
    <row r="140" spans="1:10">
      <c r="A140" s="40" t="str">
        <f>'Database iniziale'!A140</f>
        <v>seszlhqz</v>
      </c>
      <c r="B140" s="38">
        <f>_xlfn.DAYS('My trades'!G140,'My trades'!D140)</f>
        <v>146</v>
      </c>
      <c r="C140" s="41">
        <f>ROUND(('Database iniziale'!H140-'Database iniziale'!F140)*'Database iniziale'!E140,5)</f>
        <v>0.82191999999999998</v>
      </c>
      <c r="J140" s="36">
        <f t="shared" si="5"/>
        <v>8.6350930935812462E-2</v>
      </c>
    </row>
    <row r="141" spans="1:10">
      <c r="A141" s="40" t="str">
        <f>'Database iniziale'!A141</f>
        <v>sgdkuekd</v>
      </c>
      <c r="B141" s="38">
        <f>_xlfn.DAYS('My trades'!G141,'My trades'!D141)</f>
        <v>292</v>
      </c>
      <c r="C141" s="41">
        <f>ROUND(('Database iniziale'!H141-'Database iniziale'!F141)*'Database iniziale'!E141,5)</f>
        <v>-2.7793800000000002</v>
      </c>
      <c r="J141" s="36">
        <f t="shared" si="5"/>
        <v>0.23939270178771951</v>
      </c>
    </row>
    <row r="142" spans="1:10">
      <c r="A142" s="40" t="str">
        <f>'Database iniziale'!A142</f>
        <v>slqawwyu</v>
      </c>
      <c r="B142" s="38">
        <f>_xlfn.DAYS('My trades'!G142,'My trades'!D142)</f>
        <v>539</v>
      </c>
      <c r="C142" s="41">
        <f>ROUND(('Database iniziale'!H142-'Database iniziale'!F142)*'Database iniziale'!E142,5)</f>
        <v>0.50049999999999994</v>
      </c>
      <c r="J142" s="36">
        <f t="shared" si="5"/>
        <v>0.6555666732737766</v>
      </c>
    </row>
    <row r="143" spans="1:10">
      <c r="A143" s="40" t="str">
        <f>'Database iniziale'!A143</f>
        <v>stsjuvrd</v>
      </c>
      <c r="B143" s="38">
        <f>_xlfn.DAYS('My trades'!G143,'My trades'!D143)</f>
        <v>244</v>
      </c>
      <c r="C143" s="41">
        <f>ROUND(('Database iniziale'!H143-'Database iniziale'!F143)*'Database iniziale'!E143,5)</f>
        <v>-2.0739899999999998</v>
      </c>
      <c r="J143" s="36">
        <f t="shared" si="5"/>
        <v>0.17782027966583888</v>
      </c>
    </row>
    <row r="144" spans="1:10">
      <c r="A144" s="40" t="str">
        <f>'Database iniziale'!A144</f>
        <v>tazccemg</v>
      </c>
      <c r="B144" s="38">
        <f>_xlfn.DAYS('My trades'!G144,'My trades'!D144)</f>
        <v>806</v>
      </c>
      <c r="C144" s="41">
        <f>ROUND(('Database iniziale'!H144-'Database iniziale'!F144)*'Database iniziale'!E144,5)</f>
        <v>-0.24848999999999999</v>
      </c>
      <c r="J144" s="36">
        <f t="shared" si="5"/>
        <v>0.94506902089897205</v>
      </c>
    </row>
    <row r="145" spans="1:10">
      <c r="A145" s="40" t="str">
        <f>'Database iniziale'!A145</f>
        <v>tgayvhvz</v>
      </c>
      <c r="B145" s="38">
        <f>_xlfn.DAYS('My trades'!G145,'My trades'!D145)</f>
        <v>123</v>
      </c>
      <c r="C145" s="41">
        <f>ROUND(('Database iniziale'!H145-'Database iniziale'!F145)*'Database iniziale'!E145,5)</f>
        <v>0.63399000000000005</v>
      </c>
      <c r="J145" s="36">
        <f t="shared" si="5"/>
        <v>7.1214128529967613E-2</v>
      </c>
    </row>
    <row r="146" spans="1:10">
      <c r="A146" s="40" t="str">
        <f>'Database iniziale'!A146</f>
        <v>tiebtpqq</v>
      </c>
      <c r="B146" s="38">
        <f>_xlfn.DAYS('My trades'!G146,'My trades'!D146)</f>
        <v>566</v>
      </c>
      <c r="C146" s="41">
        <f>ROUND(('Database iniziale'!H146-'Database iniziale'!F146)*'Database iniziale'!E146,5)</f>
        <v>0.67037000000000002</v>
      </c>
      <c r="J146" s="36">
        <f t="shared" si="5"/>
        <v>0.69901935312579022</v>
      </c>
    </row>
    <row r="147" spans="1:10">
      <c r="A147" s="40" t="str">
        <f>'Database iniziale'!A147</f>
        <v>tjtyuhoi</v>
      </c>
      <c r="B147" s="38">
        <f>_xlfn.DAYS('My trades'!G147,'My trades'!D147)</f>
        <v>307</v>
      </c>
      <c r="C147" s="41">
        <f>ROUND(('Database iniziale'!H147-'Database iniziale'!F147)*'Database iniziale'!E147,5)</f>
        <v>4.4587300000000001</v>
      </c>
      <c r="J147" s="36">
        <f t="shared" si="5"/>
        <v>0.26078393486826834</v>
      </c>
    </row>
    <row r="148" spans="1:10">
      <c r="A148" s="40" t="str">
        <f>'Database iniziale'!A148</f>
        <v>tsmbtvip</v>
      </c>
      <c r="B148" s="38">
        <f>_xlfn.DAYS('My trades'!G148,'My trades'!D148)</f>
        <v>456</v>
      </c>
      <c r="C148" s="41">
        <f>ROUND(('Database iniziale'!H148-'Database iniziale'!F148)*'Database iniziale'!E148,5)</f>
        <v>-4.1961399999999998</v>
      </c>
      <c r="J148" s="36">
        <f t="shared" si="5"/>
        <v>0.5111094770236031</v>
      </c>
    </row>
    <row r="149" spans="1:10">
      <c r="A149" s="40" t="str">
        <f>'Database iniziale'!A149</f>
        <v>tsrjnkjg</v>
      </c>
      <c r="B149" s="38">
        <f>_xlfn.DAYS('My trades'!G149,'My trades'!D149)</f>
        <v>410</v>
      </c>
      <c r="C149" s="41">
        <f>ROUND(('Database iniziale'!H149-'Database iniziale'!F149)*'Database iniziale'!E149,5)</f>
        <v>0.30343999999999999</v>
      </c>
      <c r="J149" s="36">
        <f t="shared" si="5"/>
        <v>0.42911863734426114</v>
      </c>
    </row>
    <row r="150" spans="1:10">
      <c r="A150" s="40" t="str">
        <f>'Database iniziale'!A150</f>
        <v>ttxgpfqy</v>
      </c>
      <c r="B150" s="38">
        <f>_xlfn.DAYS('My trades'!G150,'My trades'!D150)</f>
        <v>376</v>
      </c>
      <c r="C150" s="41">
        <f>ROUND(('Database iniziale'!H150-'Database iniziale'!F150)*'Database iniziale'!E150,5)</f>
        <v>-1.2070000000000001E-2</v>
      </c>
      <c r="J150" s="36">
        <f t="shared" si="5"/>
        <v>0.37023676943920736</v>
      </c>
    </row>
    <row r="151" spans="1:10">
      <c r="A151" s="40" t="str">
        <f>'Database iniziale'!A151</f>
        <v>tuneagik</v>
      </c>
      <c r="B151" s="38">
        <f>_xlfn.DAYS('My trades'!G151,'My trades'!D151)</f>
        <v>260</v>
      </c>
      <c r="C151" s="41">
        <f>ROUND(('Database iniziale'!H151-'Database iniziale'!F151)*'Database iniziale'!E151,5)</f>
        <v>1.9279999999999999E-2</v>
      </c>
      <c r="J151" s="36">
        <f t="shared" si="5"/>
        <v>0.19713803515314696</v>
      </c>
    </row>
    <row r="152" spans="1:10">
      <c r="A152" s="40" t="str">
        <f>'Database iniziale'!A152</f>
        <v>twxakkhn</v>
      </c>
      <c r="B152" s="38">
        <f>_xlfn.DAYS('My trades'!G152,'My trades'!D152)</f>
        <v>87</v>
      </c>
      <c r="C152" s="41">
        <f>ROUND(('Database iniziale'!H152-'Database iniziale'!F152)*'Database iniziale'!E152,5)</f>
        <v>2.3327200000000001</v>
      </c>
      <c r="J152" s="36">
        <f t="shared" si="5"/>
        <v>5.1720801624204192E-2</v>
      </c>
    </row>
    <row r="153" spans="1:10">
      <c r="A153" s="40" t="str">
        <f>'Database iniziale'!A153</f>
        <v>txuwmhfn</v>
      </c>
      <c r="B153" s="38">
        <f>_xlfn.DAYS('My trades'!G153,'My trades'!D153)</f>
        <v>379</v>
      </c>
      <c r="C153" s="41">
        <f>ROUND(('Database iniziale'!H153-'Database iniziale'!F153)*'Database iniziale'!E153,5)</f>
        <v>-0.45101999999999998</v>
      </c>
      <c r="J153" s="36">
        <f t="shared" si="5"/>
        <v>0.37533314624469655</v>
      </c>
    </row>
    <row r="154" spans="1:10">
      <c r="A154" s="40" t="str">
        <f>'Database iniziale'!A154</f>
        <v>tyoavqhc</v>
      </c>
      <c r="B154" s="38">
        <f>_xlfn.DAYS('My trades'!G154,'My trades'!D154)</f>
        <v>701</v>
      </c>
      <c r="C154" s="41">
        <f>ROUND(('Database iniziale'!H154-'Database iniziale'!F154)*'Database iniziale'!E154,5)</f>
        <v>0.13450000000000001</v>
      </c>
      <c r="J154" s="36">
        <f t="shared" si="5"/>
        <v>0.8702397144680134</v>
      </c>
    </row>
    <row r="155" spans="1:10">
      <c r="A155" s="40" t="str">
        <f>'Database iniziale'!A155</f>
        <v>ucjtvrzo</v>
      </c>
      <c r="B155" s="38">
        <f>_xlfn.DAYS('My trades'!G155,'My trades'!D155)</f>
        <v>319</v>
      </c>
      <c r="C155" s="41">
        <f>ROUND(('Database iniziale'!H155-'Database iniziale'!F155)*'Database iniziale'!E155,5)</f>
        <v>3.0900500000000002</v>
      </c>
      <c r="J155" s="36">
        <f t="shared" si="5"/>
        <v>0.27857872876428941</v>
      </c>
    </row>
    <row r="156" spans="1:10">
      <c r="A156" s="40" t="str">
        <f>'Database iniziale'!A156</f>
        <v>ueoaufxg</v>
      </c>
      <c r="B156" s="38">
        <f>_xlfn.DAYS('My trades'!G156,'My trades'!D156)</f>
        <v>811</v>
      </c>
      <c r="C156" s="41">
        <f>ROUND(('Database iniziale'!H156-'Database iniziale'!F156)*'Database iniziale'!E156,5)</f>
        <v>2.5055499999999999</v>
      </c>
      <c r="J156" s="36">
        <f t="shared" si="5"/>
        <v>0.94751865151633186</v>
      </c>
    </row>
    <row r="157" spans="1:10">
      <c r="A157" s="40" t="str">
        <f>'Database iniziale'!A157</f>
        <v>ugegxjpi</v>
      </c>
      <c r="B157" s="38">
        <f>_xlfn.DAYS('My trades'!G157,'My trades'!D157)</f>
        <v>420</v>
      </c>
      <c r="C157" s="41">
        <f>ROUND(('Database iniziale'!H157-'Database iniziale'!F157)*'Database iniziale'!E157,5)</f>
        <v>0.44628000000000001</v>
      </c>
      <c r="J157" s="36">
        <f t="shared" si="5"/>
        <v>0.44680652490900818</v>
      </c>
    </row>
    <row r="158" spans="1:10">
      <c r="A158" s="40" t="str">
        <f>'Database iniziale'!A158</f>
        <v>uijhzhtp</v>
      </c>
      <c r="B158" s="38">
        <f>_xlfn.DAYS('My trades'!G158,'My trades'!D158)</f>
        <v>141</v>
      </c>
      <c r="C158" s="41">
        <f>ROUND(('Database iniziale'!H158-'Database iniziale'!F158)*'Database iniziale'!E158,5)</f>
        <v>-0.33733999999999997</v>
      </c>
      <c r="J158" s="36">
        <f t="shared" si="5"/>
        <v>8.287104715305732E-2</v>
      </c>
    </row>
    <row r="159" spans="1:10">
      <c r="A159" s="40" t="str">
        <f>'Database iniziale'!A159</f>
        <v>uiytklhp</v>
      </c>
      <c r="B159" s="38">
        <f>_xlfn.DAYS('My trades'!G159,'My trades'!D159)</f>
        <v>443</v>
      </c>
      <c r="C159" s="41">
        <f>ROUND(('Database iniziale'!H159-'Database iniziale'!F159)*'Database iniziale'!E159,5)</f>
        <v>0.63836000000000004</v>
      </c>
      <c r="J159" s="36">
        <f t="shared" si="5"/>
        <v>0.48783449597070155</v>
      </c>
    </row>
    <row r="160" spans="1:10">
      <c r="A160" s="40" t="str">
        <f>'Database iniziale'!A160</f>
        <v>umdvcmek</v>
      </c>
      <c r="B160" s="38">
        <f>_xlfn.DAYS('My trades'!G160,'My trades'!D160)</f>
        <v>404</v>
      </c>
      <c r="C160" s="41">
        <f>ROUND(('Database iniziale'!H160-'Database iniziale'!F160)*'Database iniziale'!E160,5)</f>
        <v>-0.12335</v>
      </c>
      <c r="J160" s="36">
        <f t="shared" si="5"/>
        <v>0.41857149833881446</v>
      </c>
    </row>
    <row r="161" spans="1:10">
      <c r="A161" s="40" t="str">
        <f>'Database iniziale'!A161</f>
        <v>unxxstxp</v>
      </c>
      <c r="B161" s="38">
        <f>_xlfn.DAYS('My trades'!G161,'My trades'!D161)</f>
        <v>345</v>
      </c>
      <c r="C161" s="41">
        <f>ROUND(('Database iniziale'!H161-'Database iniziale'!F161)*'Database iniziale'!E161,5)</f>
        <v>-6.2179999999999999E-2</v>
      </c>
      <c r="J161" s="36">
        <f t="shared" si="5"/>
        <v>0.31904579064991623</v>
      </c>
    </row>
    <row r="162" spans="1:10">
      <c r="A162" s="40" t="str">
        <f>'Database iniziale'!A162</f>
        <v>upcbwvls</v>
      </c>
      <c r="B162" s="38">
        <f>_xlfn.DAYS('My trades'!G162,'My trades'!D162)</f>
        <v>698</v>
      </c>
      <c r="C162" s="41">
        <f>ROUND(('Database iniziale'!H162-'Database iniziale'!F162)*'Database iniziale'!E162,5)</f>
        <v>1.52559</v>
      </c>
      <c r="J162" s="36">
        <f t="shared" ref="J162:J193" si="6">_xlfn.NORM.DIST(B162,$F$10,$F$14,TRUE)</f>
        <v>0.86737319403555735</v>
      </c>
    </row>
    <row r="163" spans="1:10">
      <c r="A163" s="40" t="str">
        <f>'Database iniziale'!A163</f>
        <v>uvenvheh</v>
      </c>
      <c r="B163" s="38">
        <f>_xlfn.DAYS('My trades'!G163,'My trades'!D163)</f>
        <v>235</v>
      </c>
      <c r="C163" s="41">
        <f>ROUND(('Database iniziale'!H163-'Database iniziale'!F163)*'Database iniziale'!E163,5)</f>
        <v>-0.92996000000000001</v>
      </c>
      <c r="J163" s="36">
        <f t="shared" si="6"/>
        <v>0.16749790165062561</v>
      </c>
    </row>
    <row r="164" spans="1:10">
      <c r="A164" s="40" t="str">
        <f>'Database iniziale'!A164</f>
        <v>vajwbmmv</v>
      </c>
      <c r="B164" s="38">
        <f>_xlfn.DAYS('My trades'!G164,'My trades'!D164)</f>
        <v>148</v>
      </c>
      <c r="C164" s="41">
        <f>ROUND(('Database iniziale'!H164-'Database iniziale'!F164)*'Database iniziale'!E164,5)</f>
        <v>-0.28001999999999999</v>
      </c>
      <c r="J164" s="36">
        <f t="shared" si="6"/>
        <v>8.7773076155726382E-2</v>
      </c>
    </row>
    <row r="165" spans="1:10">
      <c r="A165" s="40" t="str">
        <f>'Database iniziale'!A165</f>
        <v>vggvbbxh</v>
      </c>
      <c r="B165" s="38">
        <f>_xlfn.DAYS('My trades'!G165,'My trades'!D165)</f>
        <v>695</v>
      </c>
      <c r="C165" s="41">
        <f>ROUND(('Database iniziale'!H165-'Database iniziale'!F165)*'Database iniziale'!E165,5)</f>
        <v>-5.4307100000000004</v>
      </c>
      <c r="J165" s="36">
        <f t="shared" si="6"/>
        <v>0.86446334870242425</v>
      </c>
    </row>
    <row r="166" spans="1:10">
      <c r="A166" s="40" t="str">
        <f>'Database iniziale'!A166</f>
        <v>vjtxbscg</v>
      </c>
      <c r="B166" s="38">
        <f>_xlfn.DAYS('My trades'!G166,'My trades'!D166)</f>
        <v>358</v>
      </c>
      <c r="C166" s="41">
        <f>ROUND(('Database iniziale'!H166-'Database iniziale'!F166)*'Database iniziale'!E166,5)</f>
        <v>1.7729999999999999E-2</v>
      </c>
      <c r="J166" s="36">
        <f t="shared" si="6"/>
        <v>0.34016285693318205</v>
      </c>
    </row>
    <row r="167" spans="1:10">
      <c r="A167" s="40" t="str">
        <f>'Database iniziale'!A167</f>
        <v>vnkvbrpg</v>
      </c>
      <c r="B167" s="38">
        <f>_xlfn.DAYS('My trades'!G167,'My trades'!D167)</f>
        <v>213</v>
      </c>
      <c r="C167" s="41">
        <f>ROUND(('Database iniziale'!H167-'Database iniziale'!F167)*'Database iniziale'!E167,5)</f>
        <v>3.0343499999999999</v>
      </c>
      <c r="J167" s="36">
        <f t="shared" si="6"/>
        <v>0.14392584686950749</v>
      </c>
    </row>
    <row r="168" spans="1:10">
      <c r="A168" s="40" t="str">
        <f>'Database iniziale'!A168</f>
        <v>vqkagvwm</v>
      </c>
      <c r="B168" s="38">
        <f>_xlfn.DAYS('My trades'!G168,'My trades'!D168)</f>
        <v>459</v>
      </c>
      <c r="C168" s="41">
        <f>ROUND(('Database iniziale'!H168-'Database iniziale'!F168)*'Database iniziale'!E168,5)</f>
        <v>7.1349999999999997E-2</v>
      </c>
      <c r="J168" s="36">
        <f t="shared" si="6"/>
        <v>0.516478141157101</v>
      </c>
    </row>
    <row r="169" spans="1:10">
      <c r="A169" s="40" t="str">
        <f>'Database iniziale'!A169</f>
        <v>waxzujox</v>
      </c>
      <c r="B169" s="38">
        <f>_xlfn.DAYS('My trades'!G169,'My trades'!D169)</f>
        <v>143</v>
      </c>
      <c r="C169" s="41">
        <f>ROUND(('Database iniziale'!H169-'Database iniziale'!F169)*'Database iniziale'!E169,5)</f>
        <v>3.3169999999999998E-2</v>
      </c>
      <c r="J169" s="36">
        <f t="shared" si="6"/>
        <v>8.4250123272988781E-2</v>
      </c>
    </row>
    <row r="170" spans="1:10">
      <c r="A170" s="40" t="str">
        <f>'Database iniziale'!A170</f>
        <v>wfglkcmq</v>
      </c>
      <c r="B170" s="38">
        <f>_xlfn.DAYS('My trades'!G170,'My trades'!D170)</f>
        <v>143</v>
      </c>
      <c r="C170" s="41">
        <f>ROUND(('Database iniziale'!H170-'Database iniziale'!F170)*'Database iniziale'!E170,5)</f>
        <v>0.44657000000000002</v>
      </c>
      <c r="J170" s="36">
        <f t="shared" si="6"/>
        <v>8.4250123272988781E-2</v>
      </c>
    </row>
    <row r="171" spans="1:10">
      <c r="A171" s="40" t="str">
        <f>'Database iniziale'!A171</f>
        <v>wgpoqytj</v>
      </c>
      <c r="B171" s="38">
        <f>_xlfn.DAYS('My trades'!G171,'My trades'!D171)</f>
        <v>744</v>
      </c>
      <c r="C171" s="41">
        <f>ROUND(('Database iniziale'!H171-'Database iniziale'!F171)*'Database iniziale'!E171,5)</f>
        <v>1.2659999999999999E-2</v>
      </c>
      <c r="J171" s="36">
        <f t="shared" si="6"/>
        <v>0.90667077587688671</v>
      </c>
    </row>
    <row r="172" spans="1:10">
      <c r="A172" s="40" t="str">
        <f>'Database iniziale'!A172</f>
        <v>wgzgfkki</v>
      </c>
      <c r="B172" s="38">
        <f>_xlfn.DAYS('My trades'!G172,'My trades'!D172)</f>
        <v>543</v>
      </c>
      <c r="C172" s="41">
        <f>ROUND(('Database iniziale'!H172-'Database iniziale'!F172)*'Database iniziale'!E172,5)</f>
        <v>-3.43302</v>
      </c>
      <c r="J172" s="36">
        <f t="shared" si="6"/>
        <v>0.662153445684316</v>
      </c>
    </row>
    <row r="173" spans="1:10">
      <c r="A173" s="40" t="str">
        <f>'Database iniziale'!A173</f>
        <v>wiujcxll</v>
      </c>
      <c r="B173" s="38">
        <f>_xlfn.DAYS('My trades'!G173,'My trades'!D173)</f>
        <v>565</v>
      </c>
      <c r="C173" s="41">
        <f>ROUND(('Database iniziale'!H173-'Database iniziale'!F173)*'Database iniziale'!E173,5)</f>
        <v>-0.68742999999999999</v>
      </c>
      <c r="J173" s="36">
        <f t="shared" si="6"/>
        <v>0.69745461913720608</v>
      </c>
    </row>
    <row r="174" spans="1:10">
      <c r="A174" s="40" t="str">
        <f>'Database iniziale'!A174</f>
        <v>wmesgogf</v>
      </c>
      <c r="B174" s="38">
        <f>_xlfn.DAYS('My trades'!G174,'My trades'!D174)</f>
        <v>229</v>
      </c>
      <c r="C174" s="41">
        <f>ROUND(('Database iniziale'!H174-'Database iniziale'!F174)*'Database iniziale'!E174,5)</f>
        <v>-1.0710599999999999</v>
      </c>
      <c r="J174" s="36">
        <f t="shared" si="6"/>
        <v>0.16083527712614881</v>
      </c>
    </row>
    <row r="175" spans="1:10">
      <c r="A175" s="40" t="str">
        <f>'Database iniziale'!A175</f>
        <v>wzerurjz</v>
      </c>
      <c r="B175" s="38">
        <f>_xlfn.DAYS('My trades'!G175,'My trades'!D175)</f>
        <v>753</v>
      </c>
      <c r="C175" s="41">
        <f>ROUND(('Database iniziale'!H175-'Database iniziale'!F175)*'Database iniziale'!E175,5)</f>
        <v>-2.6230899999999999</v>
      </c>
      <c r="J175" s="36">
        <f t="shared" si="6"/>
        <v>0.91323133978720605</v>
      </c>
    </row>
    <row r="176" spans="1:10">
      <c r="A176" s="40" t="str">
        <f>'Database iniziale'!A176</f>
        <v>xbcdvdtp</v>
      </c>
      <c r="B176" s="38">
        <f>_xlfn.DAYS('My trades'!G176,'My trades'!D176)</f>
        <v>838</v>
      </c>
      <c r="C176" s="41">
        <f>ROUND(('Database iniziale'!H176-'Database iniziale'!F176)*'Database iniziale'!E176,5)</f>
        <v>-2.5022199999999999</v>
      </c>
      <c r="J176" s="36">
        <f t="shared" si="6"/>
        <v>0.95928467935038819</v>
      </c>
    </row>
    <row r="177" spans="1:10">
      <c r="A177" s="40" t="str">
        <f>'Database iniziale'!A177</f>
        <v>xgimgqvp</v>
      </c>
      <c r="B177" s="38">
        <f>_xlfn.DAYS('My trades'!G177,'My trades'!D177)</f>
        <v>172</v>
      </c>
      <c r="C177" s="41">
        <f>ROUND(('Database iniziale'!H177-'Database iniziale'!F177)*'Database iniziale'!E177,5)</f>
        <v>-1.5256000000000001</v>
      </c>
      <c r="J177" s="36">
        <f t="shared" si="6"/>
        <v>0.10622197640180783</v>
      </c>
    </row>
    <row r="178" spans="1:10">
      <c r="A178" s="40" t="str">
        <f>'Database iniziale'!A178</f>
        <v>xgszegxx</v>
      </c>
      <c r="B178" s="38">
        <f>_xlfn.DAYS('My trades'!G178,'My trades'!D178)</f>
        <v>795</v>
      </c>
      <c r="C178" s="41">
        <f>ROUND(('Database iniziale'!H178-'Database iniziale'!F178)*'Database iniziale'!E178,5)</f>
        <v>0.58011999999999997</v>
      </c>
      <c r="J178" s="36">
        <f t="shared" si="6"/>
        <v>0.93936210195998149</v>
      </c>
    </row>
    <row r="179" spans="1:10">
      <c r="A179" s="40" t="str">
        <f>'Database iniziale'!A179</f>
        <v>xgxazdwr</v>
      </c>
      <c r="B179" s="38">
        <f>_xlfn.DAYS('My trades'!G179,'My trades'!D179)</f>
        <v>490</v>
      </c>
      <c r="C179" s="41">
        <f>ROUND(('Database iniziale'!H179-'Database iniziale'!F179)*'Database iniziale'!E179,5)</f>
        <v>0.86284000000000005</v>
      </c>
      <c r="J179" s="36">
        <f t="shared" si="6"/>
        <v>0.57160378674500179</v>
      </c>
    </row>
    <row r="180" spans="1:10">
      <c r="A180" s="40" t="str">
        <f>'Database iniziale'!A180</f>
        <v>xkdlzakx</v>
      </c>
      <c r="B180" s="38">
        <f>_xlfn.DAYS('My trades'!G180,'My trades'!D180)</f>
        <v>712</v>
      </c>
      <c r="C180" s="41">
        <f>ROUND(('Database iniziale'!H180-'Database iniziale'!F180)*'Database iniziale'!E180,5)</f>
        <v>1.1096999999999999</v>
      </c>
      <c r="J180" s="36">
        <f t="shared" si="6"/>
        <v>0.88038191676830757</v>
      </c>
    </row>
    <row r="181" spans="1:10">
      <c r="A181" s="40" t="str">
        <f>'Database iniziale'!A181</f>
        <v>xmfevyrg</v>
      </c>
      <c r="B181" s="38">
        <f>_xlfn.DAYS('My trades'!G181,'My trades'!D181)</f>
        <v>676</v>
      </c>
      <c r="C181" s="41">
        <f>ROUND(('Database iniziale'!H181-'Database iniziale'!F181)*'Database iniziale'!E181,5)</f>
        <v>1.75596</v>
      </c>
      <c r="J181" s="36">
        <f t="shared" si="6"/>
        <v>0.84502176388349204</v>
      </c>
    </row>
    <row r="182" spans="1:10">
      <c r="A182" s="40" t="str">
        <f>'Database iniziale'!A182</f>
        <v>xmzhzbvl</v>
      </c>
      <c r="B182" s="38">
        <f>_xlfn.DAYS('My trades'!G182,'My trades'!D182)</f>
        <v>501</v>
      </c>
      <c r="C182" s="41">
        <f>ROUND(('Database iniziale'!H182-'Database iniziale'!F182)*'Database iniziale'!E182,5)</f>
        <v>1.6595299999999999</v>
      </c>
      <c r="J182" s="36">
        <f t="shared" si="6"/>
        <v>0.59088879581751907</v>
      </c>
    </row>
    <row r="183" spans="1:10">
      <c r="A183" s="40" t="str">
        <f>'Database iniziale'!A183</f>
        <v>xslzwome</v>
      </c>
      <c r="B183" s="38">
        <f>_xlfn.DAYS('My trades'!G183,'My trades'!D183)</f>
        <v>231</v>
      </c>
      <c r="C183" s="41">
        <f>ROUND(('Database iniziale'!H183-'Database iniziale'!F183)*'Database iniziale'!E183,5)</f>
        <v>-2.6341999999999999</v>
      </c>
      <c r="J183" s="36">
        <f t="shared" si="6"/>
        <v>0.16303666191667104</v>
      </c>
    </row>
    <row r="184" spans="1:10">
      <c r="A184" s="40" t="str">
        <f>'Database iniziale'!A184</f>
        <v>xydeqivj</v>
      </c>
      <c r="B184" s="38">
        <f>_xlfn.DAYS('My trades'!G184,'My trades'!D184)</f>
        <v>285</v>
      </c>
      <c r="C184" s="41">
        <f>ROUND(('Database iniziale'!H184-'Database iniziale'!F184)*'Database iniziale'!E184,5)</f>
        <v>0.32850000000000001</v>
      </c>
      <c r="J184" s="36">
        <f t="shared" si="6"/>
        <v>0.22974809572193339</v>
      </c>
    </row>
    <row r="185" spans="1:10">
      <c r="A185" s="40" t="str">
        <f>'Database iniziale'!A185</f>
        <v>ybasexlh</v>
      </c>
      <c r="B185" s="38">
        <f>_xlfn.DAYS('My trades'!G185,'My trades'!D185)</f>
        <v>460</v>
      </c>
      <c r="C185" s="41">
        <f>ROUND(('Database iniziale'!H185-'Database iniziale'!F185)*'Database iniziale'!E185,5)</f>
        <v>2.8849200000000002</v>
      </c>
      <c r="J185" s="36">
        <f t="shared" si="6"/>
        <v>0.5182670802966145</v>
      </c>
    </row>
    <row r="186" spans="1:10">
      <c r="A186" s="40" t="str">
        <f>'Database iniziale'!A186</f>
        <v>ydcmffnz</v>
      </c>
      <c r="B186" s="38">
        <f>_xlfn.DAYS('My trades'!G186,'My trades'!D186)</f>
        <v>589</v>
      </c>
      <c r="C186" s="41">
        <f>ROUND(('Database iniziale'!H186-'Database iniziale'!F186)*'Database iniziale'!E186,5)</f>
        <v>3.5109900000000001</v>
      </c>
      <c r="J186" s="36">
        <f t="shared" si="6"/>
        <v>0.73395436828992455</v>
      </c>
    </row>
    <row r="187" spans="1:10">
      <c r="A187" s="40" t="str">
        <f>'Database iniziale'!A187</f>
        <v>yjrqvwdc</v>
      </c>
      <c r="B187" s="38">
        <f>_xlfn.DAYS('My trades'!G187,'My trades'!D187)</f>
        <v>80</v>
      </c>
      <c r="C187" s="41">
        <f>ROUND(('Database iniziale'!H187-'Database iniziale'!F187)*'Database iniziale'!E187,5)</f>
        <v>-0.13533000000000001</v>
      </c>
      <c r="J187" s="36">
        <f t="shared" si="6"/>
        <v>4.8476123926246936E-2</v>
      </c>
    </row>
    <row r="188" spans="1:10">
      <c r="A188" s="40" t="str">
        <f>'Database iniziale'!A188</f>
        <v>ynqvlbrq</v>
      </c>
      <c r="B188" s="38">
        <f>_xlfn.DAYS('My trades'!G188,'My trades'!D188)</f>
        <v>747</v>
      </c>
      <c r="C188" s="41">
        <f>ROUND(('Database iniziale'!H188-'Database iniziale'!F188)*'Database iniziale'!E188,5)</f>
        <v>0.20832999999999999</v>
      </c>
      <c r="J188" s="36">
        <f t="shared" si="6"/>
        <v>0.90889715948861249</v>
      </c>
    </row>
    <row r="189" spans="1:10">
      <c r="A189" s="40" t="str">
        <f>'Database iniziale'!A189</f>
        <v>ynrcizqr</v>
      </c>
      <c r="B189" s="38">
        <f>_xlfn.DAYS('My trades'!G189,'My trades'!D189)</f>
        <v>623</v>
      </c>
      <c r="C189" s="41">
        <f>ROUND(('Database iniziale'!H189-'Database iniziale'!F189)*'Database iniziale'!E189,5)</f>
        <v>-0.78347999999999995</v>
      </c>
      <c r="J189" s="36">
        <f t="shared" si="6"/>
        <v>0.78154587557738386</v>
      </c>
    </row>
    <row r="190" spans="1:10">
      <c r="A190" s="40" t="str">
        <f>'Database iniziale'!A190</f>
        <v>ypdwpcvo</v>
      </c>
      <c r="B190" s="38">
        <f>_xlfn.DAYS('My trades'!G190,'My trades'!D190)</f>
        <v>342</v>
      </c>
      <c r="C190" s="41">
        <f>ROUND(('Database iniziale'!H190-'Database iniziale'!F190)*'Database iniziale'!E190,5)</f>
        <v>0.19416</v>
      </c>
      <c r="J190" s="36">
        <f t="shared" si="6"/>
        <v>0.31425178680774235</v>
      </c>
    </row>
    <row r="191" spans="1:10">
      <c r="A191" s="40" t="str">
        <f>'Database iniziale'!A191</f>
        <v>yrvvdedn</v>
      </c>
      <c r="B191" s="38">
        <f>_xlfn.DAYS('My trades'!G191,'My trades'!D191)</f>
        <v>752</v>
      </c>
      <c r="C191" s="41">
        <f>ROUND(('Database iniziale'!H191-'Database iniziale'!F191)*'Database iniziale'!E191,5)</f>
        <v>0.41721999999999998</v>
      </c>
      <c r="J191" s="36">
        <f t="shared" si="6"/>
        <v>0.91251987825444481</v>
      </c>
    </row>
    <row r="192" spans="1:10">
      <c r="A192" s="40" t="str">
        <f>'Database iniziale'!A192</f>
        <v>ysndnwiy</v>
      </c>
      <c r="B192" s="38">
        <f>_xlfn.DAYS('My trades'!G192,'My trades'!D192)</f>
        <v>369</v>
      </c>
      <c r="C192" s="41">
        <f>ROUND(('Database iniziale'!H192-'Database iniziale'!F192)*'Database iniziale'!E192,5)</f>
        <v>1.9272</v>
      </c>
      <c r="J192" s="36">
        <f t="shared" si="6"/>
        <v>0.35843482767165968</v>
      </c>
    </row>
    <row r="193" spans="1:10">
      <c r="A193" s="40" t="str">
        <f>'Database iniziale'!A193</f>
        <v>ywfotaaf</v>
      </c>
      <c r="B193" s="38">
        <f>_xlfn.DAYS('My trades'!G193,'My trades'!D193)</f>
        <v>181</v>
      </c>
      <c r="C193" s="41">
        <f>ROUND(('Database iniziale'!H193-'Database iniziale'!F193)*'Database iniziale'!E193,5)</f>
        <v>-0.66491</v>
      </c>
      <c r="J193" s="36">
        <f t="shared" si="6"/>
        <v>0.11381678722033335</v>
      </c>
    </row>
    <row r="194" spans="1:10">
      <c r="A194" s="40" t="str">
        <f>'Database iniziale'!A194</f>
        <v>yyclexzy</v>
      </c>
      <c r="B194" s="38">
        <f>_xlfn.DAYS('My trades'!G194,'My trades'!D194)</f>
        <v>552</v>
      </c>
      <c r="C194" s="41">
        <f>ROUND(('Database iniziale'!H194-'Database iniziale'!F194)*'Database iniziale'!E194,5)</f>
        <v>0.27087</v>
      </c>
      <c r="J194" s="36">
        <f t="shared" ref="J194:J201" si="7">_xlfn.NORM.DIST(B194,$F$10,$F$14,TRUE)</f>
        <v>0.67679086111529252</v>
      </c>
    </row>
    <row r="195" spans="1:10">
      <c r="A195" s="40" t="str">
        <f>'Database iniziale'!A195</f>
        <v>zhhtkovi</v>
      </c>
      <c r="B195" s="38">
        <f>_xlfn.DAYS('My trades'!G195,'My trades'!D195)</f>
        <v>526</v>
      </c>
      <c r="C195" s="41">
        <f>ROUND(('Database iniziale'!H195-'Database iniziale'!F195)*'Database iniziale'!E195,5)</f>
        <v>-0.58198000000000005</v>
      </c>
      <c r="J195" s="36">
        <f t="shared" si="7"/>
        <v>0.63384093124713525</v>
      </c>
    </row>
    <row r="196" spans="1:10">
      <c r="A196" s="40" t="str">
        <f>'Database iniziale'!A196</f>
        <v>zkxftiop</v>
      </c>
      <c r="B196" s="38">
        <f>_xlfn.DAYS('My trades'!G196,'My trades'!D196)</f>
        <v>539</v>
      </c>
      <c r="C196" s="41">
        <f>ROUND(('Database iniziale'!H196-'Database iniziale'!F196)*'Database iniziale'!E196,5)</f>
        <v>0.38740000000000002</v>
      </c>
      <c r="J196" s="36">
        <f t="shared" si="7"/>
        <v>0.6555666732737766</v>
      </c>
    </row>
    <row r="197" spans="1:10">
      <c r="A197" s="40" t="str">
        <f>'Database iniziale'!A197</f>
        <v>zlqfijoe</v>
      </c>
      <c r="B197" s="38">
        <f>_xlfn.DAYS('My trades'!G197,'My trades'!D197)</f>
        <v>708</v>
      </c>
      <c r="C197" s="41">
        <f>ROUND(('Database iniziale'!H197-'Database iniziale'!F197)*'Database iniziale'!E197,5)</f>
        <v>-6.5338599999999998</v>
      </c>
      <c r="J197" s="36">
        <f t="shared" si="7"/>
        <v>0.87676054945768678</v>
      </c>
    </row>
    <row r="198" spans="1:10">
      <c r="A198" s="40" t="str">
        <f>'Database iniziale'!A198</f>
        <v>zrgkwdyf</v>
      </c>
      <c r="B198" s="38">
        <f>_xlfn.DAYS('My trades'!G198,'My trades'!D198)</f>
        <v>593</v>
      </c>
      <c r="C198" s="41">
        <f>ROUND(('Database iniziale'!H198-'Database iniziale'!F198)*'Database iniziale'!E198,5)</f>
        <v>-4.2250000000000003E-2</v>
      </c>
      <c r="J198" s="36">
        <f t="shared" si="7"/>
        <v>0.73981355861192499</v>
      </c>
    </row>
    <row r="199" spans="1:10">
      <c r="A199" s="40" t="str">
        <f>'Database iniziale'!A199</f>
        <v>zsbkamjf</v>
      </c>
      <c r="B199" s="38">
        <f>_xlfn.DAYS('My trades'!G199,'My trades'!D199)</f>
        <v>159</v>
      </c>
      <c r="C199" s="41">
        <f>ROUND(('Database iniziale'!H199-'Database iniziale'!F199)*'Database iniziale'!E199,5)</f>
        <v>1.45262</v>
      </c>
      <c r="J199" s="36">
        <f t="shared" si="7"/>
        <v>9.5908399631086674E-2</v>
      </c>
    </row>
    <row r="200" spans="1:10">
      <c r="A200" s="40" t="str">
        <f>'Database iniziale'!A200</f>
        <v>zsylhezi</v>
      </c>
      <c r="B200" s="38">
        <f>_xlfn.DAYS('My trades'!G200,'My trades'!D200)</f>
        <v>295</v>
      </c>
      <c r="C200" s="41">
        <f>ROUND(('Database iniziale'!H200-'Database iniziale'!F200)*'Database iniziale'!E200,5)</f>
        <v>2.3299799999999999</v>
      </c>
      <c r="J200" s="36">
        <f t="shared" si="7"/>
        <v>0.24359281867895283</v>
      </c>
    </row>
    <row r="201" spans="1:10">
      <c r="A201" s="40" t="str">
        <f>'Database iniziale'!A201</f>
        <v>zvxjotpr</v>
      </c>
      <c r="B201" s="38">
        <f>_xlfn.DAYS('My trades'!G201,'My trades'!D201)</f>
        <v>476</v>
      </c>
      <c r="C201" s="41">
        <f>ROUND(('Database iniziale'!H201-'Database iniziale'!F201)*'Database iniziale'!E201,5)</f>
        <v>-6.2043400000000002</v>
      </c>
      <c r="J201" s="36">
        <f t="shared" si="7"/>
        <v>0.54681571738099644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1398-898A-4211-B471-471979536A67}">
  <dimension ref="A1:R20"/>
  <sheetViews>
    <sheetView workbookViewId="0">
      <selection activeCell="R11" sqref="R11"/>
    </sheetView>
  </sheetViews>
  <sheetFormatPr defaultRowHeight="18.600000000000001"/>
  <cols>
    <col min="1" max="1" width="8.88671875" style="49"/>
    <col min="2" max="2" width="17.44140625" style="49" customWidth="1"/>
    <col min="3" max="3" width="8.88671875" style="49" customWidth="1"/>
    <col min="4" max="16384" width="8.88671875" style="49"/>
  </cols>
  <sheetData>
    <row r="1" spans="1:18" ht="19.8" thickTop="1" thickBot="1">
      <c r="A1" s="57"/>
      <c r="B1" s="58"/>
      <c r="C1" s="61" t="s">
        <v>290</v>
      </c>
      <c r="D1" s="61"/>
      <c r="E1" s="61"/>
      <c r="F1" s="61"/>
      <c r="G1" s="61"/>
      <c r="H1" s="61"/>
      <c r="I1" s="61"/>
      <c r="J1" s="61"/>
      <c r="K1" s="61"/>
      <c r="L1" s="62"/>
    </row>
    <row r="2" spans="1:18" ht="19.2" thickBot="1">
      <c r="A2" s="59"/>
      <c r="B2" s="60"/>
      <c r="C2" s="50">
        <v>1</v>
      </c>
      <c r="D2" s="35">
        <v>2</v>
      </c>
      <c r="E2" s="35">
        <v>3</v>
      </c>
      <c r="F2" s="35">
        <v>4</v>
      </c>
      <c r="G2" s="35">
        <v>5</v>
      </c>
      <c r="H2" s="35">
        <v>6</v>
      </c>
      <c r="I2" s="35">
        <v>7</v>
      </c>
      <c r="J2" s="35">
        <v>8</v>
      </c>
      <c r="K2" s="35">
        <v>9</v>
      </c>
      <c r="L2" s="35">
        <v>10</v>
      </c>
    </row>
    <row r="3" spans="1:18" ht="19.8" thickTop="1" thickBot="1">
      <c r="A3" s="63" t="s">
        <v>2</v>
      </c>
      <c r="B3" s="51" t="str" cm="1">
        <f t="array" ref="B3:B19">_xlfn.UNIQUE('My trades'!C2:C201)</f>
        <v>India</v>
      </c>
      <c r="C3" s="52">
        <f>COUNTIFS('My trades'!$C$2:$C$201,'Number of trades exchanged'!B3,'My trades'!$E$2:$E$201,'Number of trades exchanged'!$C$2)</f>
        <v>4</v>
      </c>
      <c r="D3" s="52">
        <f>COUNTIFS('My trades'!$C$2:$C$201,'Number of trades exchanged'!B3,'My trades'!$E$2:$E$201,'Number of trades exchanged'!$D$2)</f>
        <v>4</v>
      </c>
      <c r="E3" s="52">
        <f>COUNTIFS('My trades'!$C$2:$C$201,'Number of trades exchanged'!B3,'My trades'!$E$2:$E$201,'Number of trades exchanged'!$E$2)</f>
        <v>4</v>
      </c>
      <c r="F3" s="52">
        <f>COUNTIFS('My trades'!$C$2:$C$201,'Number of trades exchanged'!B3,'My trades'!$E$2:$E$201,'Number of trades exchanged'!$F$2)</f>
        <v>1</v>
      </c>
      <c r="G3" s="52">
        <f>COUNTIFS('My trades'!$C$2:$C$201,'Number of trades exchanged'!B3,'My trades'!$E$2:$E$201,'Number of trades exchanged'!$G$2)</f>
        <v>1</v>
      </c>
      <c r="H3" s="52">
        <f>COUNTIFS('My trades'!$C$2:$C$201,'Number of trades exchanged'!B3,'My trades'!$E$2:$E$201,'Number of trades exchanged'!$H$2)</f>
        <v>3</v>
      </c>
      <c r="I3" s="52">
        <f>COUNTIFS('My trades'!$C$2:$C$201,'Number of trades exchanged'!B3,'My trades'!$E$2:$E$201,'Number of trades exchanged'!$I$2)</f>
        <v>2</v>
      </c>
      <c r="J3" s="52">
        <f>COUNTIFS('My trades'!$C$2:$C$201,'Number of trades exchanged'!B3,'My trades'!$E$2:$E$201,'Number of trades exchanged'!$J$2)</f>
        <v>1</v>
      </c>
      <c r="K3" s="52">
        <f>COUNTIFS('My trades'!$C$2:$C$201,'Number of trades exchanged'!B3,'My trades'!$E$2:$E$201,'Number of trades exchanged'!$K$2)</f>
        <v>2</v>
      </c>
      <c r="L3" s="52">
        <f>COUNTIFS('My trades'!$C$2:$C$201,'Number of trades exchanged'!B3,'My trades'!$E$2:$E$201,'Number of trades exchanged'!$L$2)</f>
        <v>2</v>
      </c>
      <c r="M3" s="49">
        <f>SUM(C3:L3)</f>
        <v>24</v>
      </c>
    </row>
    <row r="4" spans="1:18" ht="19.2" thickBot="1">
      <c r="A4" s="63"/>
      <c r="B4" s="53" t="str">
        <v>Iran</v>
      </c>
      <c r="C4" s="52">
        <f>COUNTIFS('My trades'!$C$2:$C$201,'Number of trades exchanged'!B4,'My trades'!$E$2:$E$201,'Number of trades exchanged'!$C$2)</f>
        <v>0</v>
      </c>
      <c r="D4" s="52">
        <f>COUNTIFS('My trades'!$C$2:$C$201,'Number of trades exchanged'!B4,'My trades'!$E$2:$E$201,'Number of trades exchanged'!$D$2)</f>
        <v>2</v>
      </c>
      <c r="E4" s="52">
        <f>COUNTIFS('My trades'!$C$2:$C$201,'Number of trades exchanged'!B4,'My trades'!$E$2:$E$201,'Number of trades exchanged'!$E$2)</f>
        <v>1</v>
      </c>
      <c r="F4" s="52">
        <f>COUNTIFS('My trades'!$C$2:$C$201,'Number of trades exchanged'!B4,'My trades'!$E$2:$E$201,'Number of trades exchanged'!$F$2)</f>
        <v>1</v>
      </c>
      <c r="G4" s="52">
        <f>COUNTIFS('My trades'!$C$2:$C$201,'Number of trades exchanged'!B4,'My trades'!$E$2:$E$201,'Number of trades exchanged'!$G$2)</f>
        <v>1</v>
      </c>
      <c r="H4" s="52">
        <f>COUNTIFS('My trades'!$C$2:$C$201,'Number of trades exchanged'!B4,'My trades'!$E$2:$E$201,'Number of trades exchanged'!$H$2)</f>
        <v>1</v>
      </c>
      <c r="I4" s="52">
        <f>COUNTIFS('My trades'!$C$2:$C$201,'Number of trades exchanged'!B4,'My trades'!$E$2:$E$201,'Number of trades exchanged'!$I$2)</f>
        <v>0</v>
      </c>
      <c r="J4" s="52">
        <f>COUNTIFS('My trades'!$C$2:$C$201,'Number of trades exchanged'!B4,'My trades'!$E$2:$E$201,'Number of trades exchanged'!$J$2)</f>
        <v>1</v>
      </c>
      <c r="K4" s="52">
        <f>COUNTIFS('My trades'!$C$2:$C$201,'Number of trades exchanged'!B4,'My trades'!$E$2:$E$201,'Number of trades exchanged'!$K$2)</f>
        <v>0</v>
      </c>
      <c r="L4" s="52">
        <f>COUNTIFS('My trades'!$C$2:$C$201,'Number of trades exchanged'!B4,'My trades'!$E$2:$E$201,'Number of trades exchanged'!$L$2)</f>
        <v>1</v>
      </c>
      <c r="M4" s="49">
        <f t="shared" ref="M4:M19" si="0">SUM(C4:L4)</f>
        <v>8</v>
      </c>
    </row>
    <row r="5" spans="1:18" ht="19.2" thickBot="1">
      <c r="A5" s="63"/>
      <c r="B5" s="53" t="str">
        <v>Switzerland</v>
      </c>
      <c r="C5" s="52">
        <f>COUNTIFS('My trades'!$C$2:$C$201,'Number of trades exchanged'!B5,'My trades'!$E$2:$E$201,'Number of trades exchanged'!$C$2)</f>
        <v>2</v>
      </c>
      <c r="D5" s="52">
        <f>COUNTIFS('My trades'!$C$2:$C$201,'Number of trades exchanged'!B5,'My trades'!$E$2:$E$201,'Number of trades exchanged'!$D$2)</f>
        <v>0</v>
      </c>
      <c r="E5" s="52">
        <f>COUNTIFS('My trades'!$C$2:$C$201,'Number of trades exchanged'!B5,'My trades'!$E$2:$E$201,'Number of trades exchanged'!$E$2)</f>
        <v>0</v>
      </c>
      <c r="F5" s="52">
        <f>COUNTIFS('My trades'!$C$2:$C$201,'Number of trades exchanged'!B5,'My trades'!$E$2:$E$201,'Number of trades exchanged'!$F$2)</f>
        <v>0</v>
      </c>
      <c r="G5" s="52">
        <f>COUNTIFS('My trades'!$C$2:$C$201,'Number of trades exchanged'!B5,'My trades'!$E$2:$E$201,'Number of trades exchanged'!$G$2)</f>
        <v>0</v>
      </c>
      <c r="H5" s="52">
        <f>COUNTIFS('My trades'!$C$2:$C$201,'Number of trades exchanged'!B5,'My trades'!$E$2:$E$201,'Number of trades exchanged'!$H$2)</f>
        <v>2</v>
      </c>
      <c r="I5" s="52">
        <f>COUNTIFS('My trades'!$C$2:$C$201,'Number of trades exchanged'!B5,'My trades'!$E$2:$E$201,'Number of trades exchanged'!$I$2)</f>
        <v>0</v>
      </c>
      <c r="J5" s="52">
        <f>COUNTIFS('My trades'!$C$2:$C$201,'Number of trades exchanged'!B5,'My trades'!$E$2:$E$201,'Number of trades exchanged'!$J$2)</f>
        <v>2</v>
      </c>
      <c r="K5" s="52">
        <f>COUNTIFS('My trades'!$C$2:$C$201,'Number of trades exchanged'!B5,'My trades'!$E$2:$E$201,'Number of trades exchanged'!$K$2)</f>
        <v>1</v>
      </c>
      <c r="L5" s="52">
        <f>COUNTIFS('My trades'!$C$2:$C$201,'Number of trades exchanged'!B5,'My trades'!$E$2:$E$201,'Number of trades exchanged'!$L$2)</f>
        <v>1</v>
      </c>
      <c r="M5" s="49">
        <f t="shared" si="0"/>
        <v>8</v>
      </c>
    </row>
    <row r="6" spans="1:18" ht="19.2" thickBot="1">
      <c r="A6" s="63"/>
      <c r="B6" s="53" t="str">
        <v>Europe</v>
      </c>
      <c r="C6" s="52">
        <f>COUNTIFS('My trades'!$C$2:$C$201,'Number of trades exchanged'!B6,'My trades'!$E$2:$E$201,'Number of trades exchanged'!$C$2)</f>
        <v>3</v>
      </c>
      <c r="D6" s="52">
        <f>COUNTIFS('My trades'!$C$2:$C$201,'Number of trades exchanged'!B6,'My trades'!$E$2:$E$201,'Number of trades exchanged'!$D$2)</f>
        <v>1</v>
      </c>
      <c r="E6" s="52">
        <f>COUNTIFS('My trades'!$C$2:$C$201,'Number of trades exchanged'!B6,'My trades'!$E$2:$E$201,'Number of trades exchanged'!$E$2)</f>
        <v>2</v>
      </c>
      <c r="F6" s="52">
        <f>COUNTIFS('My trades'!$C$2:$C$201,'Number of trades exchanged'!B6,'My trades'!$E$2:$E$201,'Number of trades exchanged'!$F$2)</f>
        <v>3</v>
      </c>
      <c r="G6" s="52">
        <f>COUNTIFS('My trades'!$C$2:$C$201,'Number of trades exchanged'!B6,'My trades'!$E$2:$E$201,'Number of trades exchanged'!$G$2)</f>
        <v>2</v>
      </c>
      <c r="H6" s="52">
        <f>COUNTIFS('My trades'!$C$2:$C$201,'Number of trades exchanged'!B6,'My trades'!$E$2:$E$201,'Number of trades exchanged'!$H$2)</f>
        <v>3</v>
      </c>
      <c r="I6" s="52">
        <f>COUNTIFS('My trades'!$C$2:$C$201,'Number of trades exchanged'!B6,'My trades'!$E$2:$E$201,'Number of trades exchanged'!$I$2)</f>
        <v>0</v>
      </c>
      <c r="J6" s="52">
        <f>COUNTIFS('My trades'!$C$2:$C$201,'Number of trades exchanged'!B6,'My trades'!$E$2:$E$201,'Number of trades exchanged'!$J$2)</f>
        <v>0</v>
      </c>
      <c r="K6" s="52">
        <f>COUNTIFS('My trades'!$C$2:$C$201,'Number of trades exchanged'!B6,'My trades'!$E$2:$E$201,'Number of trades exchanged'!$K$2)</f>
        <v>1</v>
      </c>
      <c r="L6" s="52">
        <f>COUNTIFS('My trades'!$C$2:$C$201,'Number of trades exchanged'!B6,'My trades'!$E$2:$E$201,'Number of trades exchanged'!$L$2)</f>
        <v>1</v>
      </c>
      <c r="M6" s="49">
        <f t="shared" si="0"/>
        <v>16</v>
      </c>
    </row>
    <row r="7" spans="1:18" ht="19.2" thickBot="1">
      <c r="A7" s="63"/>
      <c r="B7" s="53" t="str">
        <v>South Korea</v>
      </c>
      <c r="C7" s="52">
        <f>COUNTIFS('My trades'!$C$2:$C$201,'Number of trades exchanged'!B7,'My trades'!$E$2:$E$201,'Number of trades exchanged'!$C$2)</f>
        <v>2</v>
      </c>
      <c r="D7" s="52">
        <f>COUNTIFS('My trades'!$C$2:$C$201,'Number of trades exchanged'!B7,'My trades'!$E$2:$E$201,'Number of trades exchanged'!$D$2)</f>
        <v>0</v>
      </c>
      <c r="E7" s="52">
        <f>COUNTIFS('My trades'!$C$2:$C$201,'Number of trades exchanged'!B7,'My trades'!$E$2:$E$201,'Number of trades exchanged'!$E$2)</f>
        <v>2</v>
      </c>
      <c r="F7" s="52">
        <f>COUNTIFS('My trades'!$C$2:$C$201,'Number of trades exchanged'!B7,'My trades'!$E$2:$E$201,'Number of trades exchanged'!$F$2)</f>
        <v>0</v>
      </c>
      <c r="G7" s="52">
        <f>COUNTIFS('My trades'!$C$2:$C$201,'Number of trades exchanged'!B7,'My trades'!$E$2:$E$201,'Number of trades exchanged'!$G$2)</f>
        <v>0</v>
      </c>
      <c r="H7" s="52">
        <f>COUNTIFS('My trades'!$C$2:$C$201,'Number of trades exchanged'!B7,'My trades'!$E$2:$E$201,'Number of trades exchanged'!$H$2)</f>
        <v>1</v>
      </c>
      <c r="I7" s="52">
        <f>COUNTIFS('My trades'!$C$2:$C$201,'Number of trades exchanged'!B7,'My trades'!$E$2:$E$201,'Number of trades exchanged'!$I$2)</f>
        <v>2</v>
      </c>
      <c r="J7" s="52">
        <f>COUNTIFS('My trades'!$C$2:$C$201,'Number of trades exchanged'!B7,'My trades'!$E$2:$E$201,'Number of trades exchanged'!$J$2)</f>
        <v>1</v>
      </c>
      <c r="K7" s="52">
        <f>COUNTIFS('My trades'!$C$2:$C$201,'Number of trades exchanged'!B7,'My trades'!$E$2:$E$201,'Number of trades exchanged'!$K$2)</f>
        <v>0</v>
      </c>
      <c r="L7" s="52">
        <f>COUNTIFS('My trades'!$C$2:$C$201,'Number of trades exchanged'!B7,'My trades'!$E$2:$E$201,'Number of trades exchanged'!$L$2)</f>
        <v>0</v>
      </c>
      <c r="M7" s="49">
        <f t="shared" si="0"/>
        <v>8</v>
      </c>
    </row>
    <row r="8" spans="1:18" ht="19.2" thickBot="1">
      <c r="A8" s="63"/>
      <c r="B8" s="53" t="str">
        <v>South Africa</v>
      </c>
      <c r="C8" s="52">
        <f>COUNTIFS('My trades'!$C$2:$C$201,'Number of trades exchanged'!B8,'My trades'!$E$2:$E$201,'Number of trades exchanged'!$C$2)</f>
        <v>2</v>
      </c>
      <c r="D8" s="52">
        <f>COUNTIFS('My trades'!$C$2:$C$201,'Number of trades exchanged'!B8,'My trades'!$E$2:$E$201,'Number of trades exchanged'!$D$2)</f>
        <v>0</v>
      </c>
      <c r="E8" s="52">
        <f>COUNTIFS('My trades'!$C$2:$C$201,'Number of trades exchanged'!B8,'My trades'!$E$2:$E$201,'Number of trades exchanged'!$E$2)</f>
        <v>1</v>
      </c>
      <c r="F8" s="52">
        <f>COUNTIFS('My trades'!$C$2:$C$201,'Number of trades exchanged'!B8,'My trades'!$E$2:$E$201,'Number of trades exchanged'!$F$2)</f>
        <v>2</v>
      </c>
      <c r="G8" s="52">
        <f>COUNTIFS('My trades'!$C$2:$C$201,'Number of trades exchanged'!B8,'My trades'!$E$2:$E$201,'Number of trades exchanged'!$G$2)</f>
        <v>1</v>
      </c>
      <c r="H8" s="52">
        <f>COUNTIFS('My trades'!$C$2:$C$201,'Number of trades exchanged'!B8,'My trades'!$E$2:$E$201,'Number of trades exchanged'!$H$2)</f>
        <v>1</v>
      </c>
      <c r="I8" s="52">
        <f>COUNTIFS('My trades'!$C$2:$C$201,'Number of trades exchanged'!B8,'My trades'!$E$2:$E$201,'Number of trades exchanged'!$I$2)</f>
        <v>0</v>
      </c>
      <c r="J8" s="52">
        <f>COUNTIFS('My trades'!$C$2:$C$201,'Number of trades exchanged'!B8,'My trades'!$E$2:$E$201,'Number of trades exchanged'!$J$2)</f>
        <v>0</v>
      </c>
      <c r="K8" s="52">
        <f>COUNTIFS('My trades'!$C$2:$C$201,'Number of trades exchanged'!B8,'My trades'!$E$2:$E$201,'Number of trades exchanged'!$K$2)</f>
        <v>0</v>
      </c>
      <c r="L8" s="52">
        <f>COUNTIFS('My trades'!$C$2:$C$201,'Number of trades exchanged'!B8,'My trades'!$E$2:$E$201,'Number of trades exchanged'!$L$2)</f>
        <v>1</v>
      </c>
      <c r="M8" s="49">
        <f t="shared" si="0"/>
        <v>8</v>
      </c>
    </row>
    <row r="9" spans="1:18" ht="19.2" thickBot="1">
      <c r="A9" s="63"/>
      <c r="B9" s="53" t="str">
        <v>Canada</v>
      </c>
      <c r="C9" s="52">
        <f>COUNTIFS('My trades'!$C$2:$C$201,'Number of trades exchanged'!B9,'My trades'!$E$2:$E$201,'Number of trades exchanged'!$C$2)</f>
        <v>0</v>
      </c>
      <c r="D9" s="52">
        <f>COUNTIFS('My trades'!$C$2:$C$201,'Number of trades exchanged'!B9,'My trades'!$E$2:$E$201,'Number of trades exchanged'!$D$2)</f>
        <v>2</v>
      </c>
      <c r="E9" s="52">
        <f>COUNTIFS('My trades'!$C$2:$C$201,'Number of trades exchanged'!B9,'My trades'!$E$2:$E$201,'Number of trades exchanged'!$E$2)</f>
        <v>0</v>
      </c>
      <c r="F9" s="52">
        <f>COUNTIFS('My trades'!$C$2:$C$201,'Number of trades exchanged'!B9,'My trades'!$E$2:$E$201,'Number of trades exchanged'!$F$2)</f>
        <v>0</v>
      </c>
      <c r="G9" s="52">
        <f>COUNTIFS('My trades'!$C$2:$C$201,'Number of trades exchanged'!B9,'My trades'!$E$2:$E$201,'Number of trades exchanged'!$G$2)</f>
        <v>2</v>
      </c>
      <c r="H9" s="52">
        <f>COUNTIFS('My trades'!$C$2:$C$201,'Number of trades exchanged'!B9,'My trades'!$E$2:$E$201,'Number of trades exchanged'!$H$2)</f>
        <v>2</v>
      </c>
      <c r="I9" s="52">
        <f>COUNTIFS('My trades'!$C$2:$C$201,'Number of trades exchanged'!B9,'My trades'!$E$2:$E$201,'Number of trades exchanged'!$I$2)</f>
        <v>0</v>
      </c>
      <c r="J9" s="52">
        <f>COUNTIFS('My trades'!$C$2:$C$201,'Number of trades exchanged'!B9,'My trades'!$E$2:$E$201,'Number of trades exchanged'!$J$2)</f>
        <v>0</v>
      </c>
      <c r="K9" s="52">
        <f>COUNTIFS('My trades'!$C$2:$C$201,'Number of trades exchanged'!B9,'My trades'!$E$2:$E$201,'Number of trades exchanged'!$K$2)</f>
        <v>0</v>
      </c>
      <c r="L9" s="52">
        <f>COUNTIFS('My trades'!$C$2:$C$201,'Number of trades exchanged'!B9,'My trades'!$E$2:$E$201,'Number of trades exchanged'!$L$2)</f>
        <v>2</v>
      </c>
      <c r="M9" s="49">
        <f t="shared" si="0"/>
        <v>8</v>
      </c>
      <c r="O9" s="65" t="s">
        <v>291</v>
      </c>
      <c r="P9" s="66"/>
      <c r="Q9" s="66"/>
      <c r="R9" s="56">
        <f>I15/M20</f>
        <v>0.01</v>
      </c>
    </row>
    <row r="10" spans="1:18" ht="19.2" thickBot="1">
      <c r="A10" s="63"/>
      <c r="B10" s="53" t="str">
        <v>Germany</v>
      </c>
      <c r="C10" s="52">
        <f>COUNTIFS('My trades'!$C$2:$C$201,'Number of trades exchanged'!B10,'My trades'!$E$2:$E$201,'Number of trades exchanged'!$C$2)</f>
        <v>1</v>
      </c>
      <c r="D10" s="52">
        <f>COUNTIFS('My trades'!$C$2:$C$201,'Number of trades exchanged'!B10,'My trades'!$E$2:$E$201,'Number of trades exchanged'!$D$2)</f>
        <v>1</v>
      </c>
      <c r="E10" s="52">
        <f>COUNTIFS('My trades'!$C$2:$C$201,'Number of trades exchanged'!B10,'My trades'!$E$2:$E$201,'Number of trades exchanged'!$E$2)</f>
        <v>3</v>
      </c>
      <c r="F10" s="52">
        <f>COUNTIFS('My trades'!$C$2:$C$201,'Number of trades exchanged'!B10,'My trades'!$E$2:$E$201,'Number of trades exchanged'!$F$2)</f>
        <v>0</v>
      </c>
      <c r="G10" s="52">
        <f>COUNTIFS('My trades'!$C$2:$C$201,'Number of trades exchanged'!B10,'My trades'!$E$2:$E$201,'Number of trades exchanged'!$G$2)</f>
        <v>4</v>
      </c>
      <c r="H10" s="52">
        <f>COUNTIFS('My trades'!$C$2:$C$201,'Number of trades exchanged'!B10,'My trades'!$E$2:$E$201,'Number of trades exchanged'!$H$2)</f>
        <v>4</v>
      </c>
      <c r="I10" s="52">
        <f>COUNTIFS('My trades'!$C$2:$C$201,'Number of trades exchanged'!B10,'My trades'!$E$2:$E$201,'Number of trades exchanged'!$I$2)</f>
        <v>1</v>
      </c>
      <c r="J10" s="52">
        <f>COUNTIFS('My trades'!$C$2:$C$201,'Number of trades exchanged'!B10,'My trades'!$E$2:$E$201,'Number of trades exchanged'!$J$2)</f>
        <v>0</v>
      </c>
      <c r="K10" s="52">
        <f>COUNTIFS('My trades'!$C$2:$C$201,'Number of trades exchanged'!B10,'My trades'!$E$2:$E$201,'Number of trades exchanged'!$K$2)</f>
        <v>2</v>
      </c>
      <c r="L10" s="52">
        <f>COUNTIFS('My trades'!$C$2:$C$201,'Number of trades exchanged'!B10,'My trades'!$E$2:$E$201,'Number of trades exchanged'!$L$2)</f>
        <v>0</v>
      </c>
      <c r="M10" s="49">
        <f t="shared" si="0"/>
        <v>16</v>
      </c>
    </row>
    <row r="11" spans="1:18" ht="19.2" thickBot="1">
      <c r="A11" s="63"/>
      <c r="B11" s="53" t="str">
        <v>Saudi Arabia</v>
      </c>
      <c r="C11" s="52">
        <f>COUNTIFS('My trades'!$C$2:$C$201,'Number of trades exchanged'!B11,'My trades'!$E$2:$E$201,'Number of trades exchanged'!$C$2)</f>
        <v>1</v>
      </c>
      <c r="D11" s="52">
        <f>COUNTIFS('My trades'!$C$2:$C$201,'Number of trades exchanged'!B11,'My trades'!$E$2:$E$201,'Number of trades exchanged'!$D$2)</f>
        <v>2</v>
      </c>
      <c r="E11" s="52">
        <f>COUNTIFS('My trades'!$C$2:$C$201,'Number of trades exchanged'!B11,'My trades'!$E$2:$E$201,'Number of trades exchanged'!$E$2)</f>
        <v>0</v>
      </c>
      <c r="F11" s="52">
        <f>COUNTIFS('My trades'!$C$2:$C$201,'Number of trades exchanged'!B11,'My trades'!$E$2:$E$201,'Number of trades exchanged'!$F$2)</f>
        <v>0</v>
      </c>
      <c r="G11" s="52">
        <f>COUNTIFS('My trades'!$C$2:$C$201,'Number of trades exchanged'!B11,'My trades'!$E$2:$E$201,'Number of trades exchanged'!$G$2)</f>
        <v>2</v>
      </c>
      <c r="H11" s="52">
        <f>COUNTIFS('My trades'!$C$2:$C$201,'Number of trades exchanged'!B11,'My trades'!$E$2:$E$201,'Number of trades exchanged'!$H$2)</f>
        <v>1</v>
      </c>
      <c r="I11" s="52">
        <f>COUNTIFS('My trades'!$C$2:$C$201,'Number of trades exchanged'!B11,'My trades'!$E$2:$E$201,'Number of trades exchanged'!$I$2)</f>
        <v>2</v>
      </c>
      <c r="J11" s="52">
        <f>COUNTIFS('My trades'!$C$2:$C$201,'Number of trades exchanged'!B11,'My trades'!$E$2:$E$201,'Number of trades exchanged'!$J$2)</f>
        <v>0</v>
      </c>
      <c r="K11" s="52">
        <f>COUNTIFS('My trades'!$C$2:$C$201,'Number of trades exchanged'!B11,'My trades'!$E$2:$E$201,'Number of trades exchanged'!$K$2)</f>
        <v>0</v>
      </c>
      <c r="L11" s="52">
        <f>COUNTIFS('My trades'!$C$2:$C$201,'Number of trades exchanged'!B11,'My trades'!$E$2:$E$201,'Number of trades exchanged'!$L$2)</f>
        <v>0</v>
      </c>
      <c r="M11" s="49">
        <f t="shared" si="0"/>
        <v>8</v>
      </c>
      <c r="O11" s="65" t="s">
        <v>292</v>
      </c>
      <c r="P11" s="66"/>
      <c r="Q11" s="66"/>
      <c r="R11" s="56">
        <f>(SUM(C18:J18)+SUM(C14:J14)+SUM(C13:J13)+SUM(C12:J12)+SUM(C7:J7)+SUM(C3:J3)+SUM(C4:J4)+SUM(C11:J11))/M20</f>
        <v>0.37</v>
      </c>
    </row>
    <row r="12" spans="1:18" ht="19.2" thickBot="1">
      <c r="A12" s="63"/>
      <c r="B12" s="53" t="str">
        <v>Japan</v>
      </c>
      <c r="C12" s="52">
        <f>COUNTIFS('My trades'!$C$2:$C$201,'Number of trades exchanged'!B12,'My trades'!$E$2:$E$201,'Number of trades exchanged'!$C$2)</f>
        <v>1</v>
      </c>
      <c r="D12" s="52">
        <f>COUNTIFS('My trades'!$C$2:$C$201,'Number of trades exchanged'!B12,'My trades'!$E$2:$E$201,'Number of trades exchanged'!$D$2)</f>
        <v>1</v>
      </c>
      <c r="E12" s="52">
        <f>COUNTIFS('My trades'!$C$2:$C$201,'Number of trades exchanged'!B12,'My trades'!$E$2:$E$201,'Number of trades exchanged'!$E$2)</f>
        <v>1</v>
      </c>
      <c r="F12" s="52">
        <f>COUNTIFS('My trades'!$C$2:$C$201,'Number of trades exchanged'!B12,'My trades'!$E$2:$E$201,'Number of trades exchanged'!$F$2)</f>
        <v>0</v>
      </c>
      <c r="G12" s="52">
        <f>COUNTIFS('My trades'!$C$2:$C$201,'Number of trades exchanged'!B12,'My trades'!$E$2:$E$201,'Number of trades exchanged'!$G$2)</f>
        <v>0</v>
      </c>
      <c r="H12" s="52">
        <f>COUNTIFS('My trades'!$C$2:$C$201,'Number of trades exchanged'!B12,'My trades'!$E$2:$E$201,'Number of trades exchanged'!$H$2)</f>
        <v>2</v>
      </c>
      <c r="I12" s="52">
        <f>COUNTIFS('My trades'!$C$2:$C$201,'Number of trades exchanged'!B12,'My trades'!$E$2:$E$201,'Number of trades exchanged'!$I$2)</f>
        <v>0</v>
      </c>
      <c r="J12" s="52">
        <f>COUNTIFS('My trades'!$C$2:$C$201,'Number of trades exchanged'!B12,'My trades'!$E$2:$E$201,'Number of trades exchanged'!$J$2)</f>
        <v>2</v>
      </c>
      <c r="K12" s="52">
        <f>COUNTIFS('My trades'!$C$2:$C$201,'Number of trades exchanged'!B12,'My trades'!$E$2:$E$201,'Number of trades exchanged'!$K$2)</f>
        <v>1</v>
      </c>
      <c r="L12" s="52">
        <f>COUNTIFS('My trades'!$C$2:$C$201,'Number of trades exchanged'!B12,'My trades'!$E$2:$E$201,'Number of trades exchanged'!$L$2)</f>
        <v>0</v>
      </c>
      <c r="M12" s="49">
        <f t="shared" si="0"/>
        <v>8</v>
      </c>
    </row>
    <row r="13" spans="1:18" ht="19.2" thickBot="1">
      <c r="A13" s="63"/>
      <c r="B13" s="53" t="str">
        <v>Hong Kong</v>
      </c>
      <c r="C13" s="52">
        <f>COUNTIFS('My trades'!$C$2:$C$201,'Number of trades exchanged'!B13,'My trades'!$E$2:$E$201,'Number of trades exchanged'!$C$2)</f>
        <v>0</v>
      </c>
      <c r="D13" s="52">
        <f>COUNTIFS('My trades'!$C$2:$C$201,'Number of trades exchanged'!B13,'My trades'!$E$2:$E$201,'Number of trades exchanged'!$D$2)</f>
        <v>0</v>
      </c>
      <c r="E13" s="52">
        <f>COUNTIFS('My trades'!$C$2:$C$201,'Number of trades exchanged'!B13,'My trades'!$E$2:$E$201,'Number of trades exchanged'!$E$2)</f>
        <v>0</v>
      </c>
      <c r="F13" s="52">
        <f>COUNTIFS('My trades'!$C$2:$C$201,'Number of trades exchanged'!B13,'My trades'!$E$2:$E$201,'Number of trades exchanged'!$F$2)</f>
        <v>0</v>
      </c>
      <c r="G13" s="52">
        <f>COUNTIFS('My trades'!$C$2:$C$201,'Number of trades exchanged'!B13,'My trades'!$E$2:$E$201,'Number of trades exchanged'!$G$2)</f>
        <v>3</v>
      </c>
      <c r="H13" s="52">
        <f>COUNTIFS('My trades'!$C$2:$C$201,'Number of trades exchanged'!B13,'My trades'!$E$2:$E$201,'Number of trades exchanged'!$H$2)</f>
        <v>1</v>
      </c>
      <c r="I13" s="52">
        <f>COUNTIFS('My trades'!$C$2:$C$201,'Number of trades exchanged'!B13,'My trades'!$E$2:$E$201,'Number of trades exchanged'!$I$2)</f>
        <v>2</v>
      </c>
      <c r="J13" s="52">
        <f>COUNTIFS('My trades'!$C$2:$C$201,'Number of trades exchanged'!B13,'My trades'!$E$2:$E$201,'Number of trades exchanged'!$J$2)</f>
        <v>0</v>
      </c>
      <c r="K13" s="52">
        <f>COUNTIFS('My trades'!$C$2:$C$201,'Number of trades exchanged'!B13,'My trades'!$E$2:$E$201,'Number of trades exchanged'!$K$2)</f>
        <v>1</v>
      </c>
      <c r="L13" s="52">
        <f>COUNTIFS('My trades'!$C$2:$C$201,'Number of trades exchanged'!B13,'My trades'!$E$2:$E$201,'Number of trades exchanged'!$L$2)</f>
        <v>1</v>
      </c>
      <c r="M13" s="49">
        <f t="shared" si="0"/>
        <v>8</v>
      </c>
    </row>
    <row r="14" spans="1:18" ht="19.2" thickBot="1">
      <c r="A14" s="63"/>
      <c r="B14" s="53" t="str">
        <v>China</v>
      </c>
      <c r="C14" s="52">
        <f>COUNTIFS('My trades'!$C$2:$C$201,'Number of trades exchanged'!B14,'My trades'!$E$2:$E$201,'Number of trades exchanged'!$C$2)</f>
        <v>2</v>
      </c>
      <c r="D14" s="52">
        <f>COUNTIFS('My trades'!$C$2:$C$201,'Number of trades exchanged'!B14,'My trades'!$E$2:$E$201,'Number of trades exchanged'!$D$2)</f>
        <v>1</v>
      </c>
      <c r="E14" s="52">
        <f>COUNTIFS('My trades'!$C$2:$C$201,'Number of trades exchanged'!B14,'My trades'!$E$2:$E$201,'Number of trades exchanged'!$E$2)</f>
        <v>1</v>
      </c>
      <c r="F14" s="52">
        <f>COUNTIFS('My trades'!$C$2:$C$201,'Number of trades exchanged'!B14,'My trades'!$E$2:$E$201,'Number of trades exchanged'!$F$2)</f>
        <v>6</v>
      </c>
      <c r="G14" s="52">
        <f>COUNTIFS('My trades'!$C$2:$C$201,'Number of trades exchanged'!B14,'My trades'!$E$2:$E$201,'Number of trades exchanged'!$G$2)</f>
        <v>1</v>
      </c>
      <c r="H14" s="52">
        <f>COUNTIFS('My trades'!$C$2:$C$201,'Number of trades exchanged'!B14,'My trades'!$E$2:$E$201,'Number of trades exchanged'!$H$2)</f>
        <v>2</v>
      </c>
      <c r="I14" s="52">
        <f>COUNTIFS('My trades'!$C$2:$C$201,'Number of trades exchanged'!B14,'My trades'!$E$2:$E$201,'Number of trades exchanged'!$I$2)</f>
        <v>0</v>
      </c>
      <c r="J14" s="52">
        <f>COUNTIFS('My trades'!$C$2:$C$201,'Number of trades exchanged'!B14,'My trades'!$E$2:$E$201,'Number of trades exchanged'!$J$2)</f>
        <v>1</v>
      </c>
      <c r="K14" s="52">
        <f>COUNTIFS('My trades'!$C$2:$C$201,'Number of trades exchanged'!B14,'My trades'!$E$2:$E$201,'Number of trades exchanged'!$K$2)</f>
        <v>2</v>
      </c>
      <c r="L14" s="52">
        <f>COUNTIFS('My trades'!$C$2:$C$201,'Number of trades exchanged'!B14,'My trades'!$E$2:$E$201,'Number of trades exchanged'!$L$2)</f>
        <v>0</v>
      </c>
      <c r="M14" s="49">
        <f t="shared" si="0"/>
        <v>16</v>
      </c>
    </row>
    <row r="15" spans="1:18" ht="19.2" thickBot="1">
      <c r="A15" s="63"/>
      <c r="B15" s="53" t="str">
        <v>United Kingdom</v>
      </c>
      <c r="C15" s="52">
        <f>COUNTIFS('My trades'!$C$2:$C$201,'Number of trades exchanged'!B15,'My trades'!$E$2:$E$201,'Number of trades exchanged'!$C$2)</f>
        <v>1</v>
      </c>
      <c r="D15" s="52">
        <f>COUNTIFS('My trades'!$C$2:$C$201,'Number of trades exchanged'!B15,'My trades'!$E$2:$E$201,'Number of trades exchanged'!$D$2)</f>
        <v>2</v>
      </c>
      <c r="E15" s="52">
        <f>COUNTIFS('My trades'!$C$2:$C$201,'Number of trades exchanged'!B15,'My trades'!$E$2:$E$201,'Number of trades exchanged'!$E$2)</f>
        <v>0</v>
      </c>
      <c r="F15" s="52">
        <f>COUNTIFS('My trades'!$C$2:$C$201,'Number of trades exchanged'!B15,'My trades'!$E$2:$E$201,'Number of trades exchanged'!$F$2)</f>
        <v>1</v>
      </c>
      <c r="G15" s="52">
        <f>COUNTIFS('My trades'!$C$2:$C$201,'Number of trades exchanged'!B15,'My trades'!$E$2:$E$201,'Number of trades exchanged'!$G$2)</f>
        <v>0</v>
      </c>
      <c r="H15" s="52">
        <f>COUNTIFS('My trades'!$C$2:$C$201,'Number of trades exchanged'!B15,'My trades'!$E$2:$E$201,'Number of trades exchanged'!$H$2)</f>
        <v>1</v>
      </c>
      <c r="I15" s="52">
        <f>COUNTIFS('My trades'!$C$2:$C$201,'Number of trades exchanged'!B15,'My trades'!$E$2:$E$201,'Number of trades exchanged'!$I$2)</f>
        <v>2</v>
      </c>
      <c r="J15" s="52">
        <f>COUNTIFS('My trades'!$C$2:$C$201,'Number of trades exchanged'!B15,'My trades'!$E$2:$E$201,'Number of trades exchanged'!$J$2)</f>
        <v>0</v>
      </c>
      <c r="K15" s="52">
        <f>COUNTIFS('My trades'!$C$2:$C$201,'Number of trades exchanged'!B15,'My trades'!$E$2:$E$201,'Number of trades exchanged'!$K$2)</f>
        <v>1</v>
      </c>
      <c r="L15" s="52">
        <f>COUNTIFS('My trades'!$C$2:$C$201,'Number of trades exchanged'!B15,'My trades'!$E$2:$E$201,'Number of trades exchanged'!$L$2)</f>
        <v>0</v>
      </c>
      <c r="M15" s="49">
        <f t="shared" si="0"/>
        <v>8</v>
      </c>
    </row>
    <row r="16" spans="1:18" ht="19.2" thickBot="1">
      <c r="A16" s="63"/>
      <c r="B16" s="53" t="str">
        <v>Brazil</v>
      </c>
      <c r="C16" s="52">
        <f>COUNTIFS('My trades'!$C$2:$C$201,'Number of trades exchanged'!B16,'My trades'!$E$2:$E$201,'Number of trades exchanged'!$C$2)</f>
        <v>2</v>
      </c>
      <c r="D16" s="52">
        <f>COUNTIFS('My trades'!$C$2:$C$201,'Number of trades exchanged'!B16,'My trades'!$E$2:$E$201,'Number of trades exchanged'!$D$2)</f>
        <v>3</v>
      </c>
      <c r="E16" s="52">
        <f>COUNTIFS('My trades'!$C$2:$C$201,'Number of trades exchanged'!B16,'My trades'!$E$2:$E$201,'Number of trades exchanged'!$E$2)</f>
        <v>1</v>
      </c>
      <c r="F16" s="52">
        <f>COUNTIFS('My trades'!$C$2:$C$201,'Number of trades exchanged'!B16,'My trades'!$E$2:$E$201,'Number of trades exchanged'!$F$2)</f>
        <v>1</v>
      </c>
      <c r="G16" s="52">
        <f>COUNTIFS('My trades'!$C$2:$C$201,'Number of trades exchanged'!B16,'My trades'!$E$2:$E$201,'Number of trades exchanged'!$G$2)</f>
        <v>0</v>
      </c>
      <c r="H16" s="52">
        <f>COUNTIFS('My trades'!$C$2:$C$201,'Number of trades exchanged'!B16,'My trades'!$E$2:$E$201,'Number of trades exchanged'!$H$2)</f>
        <v>1</v>
      </c>
      <c r="I16" s="52">
        <f>COUNTIFS('My trades'!$C$2:$C$201,'Number of trades exchanged'!B16,'My trades'!$E$2:$E$201,'Number of trades exchanged'!$I$2)</f>
        <v>4</v>
      </c>
      <c r="J16" s="52">
        <f>COUNTIFS('My trades'!$C$2:$C$201,'Number of trades exchanged'!B16,'My trades'!$E$2:$E$201,'Number of trades exchanged'!$J$2)</f>
        <v>2</v>
      </c>
      <c r="K16" s="52">
        <f>COUNTIFS('My trades'!$C$2:$C$201,'Number of trades exchanged'!B16,'My trades'!$E$2:$E$201,'Number of trades exchanged'!$K$2)</f>
        <v>2</v>
      </c>
      <c r="L16" s="52">
        <f>COUNTIFS('My trades'!$C$2:$C$201,'Number of trades exchanged'!B16,'My trades'!$E$2:$E$201,'Number of trades exchanged'!$L$2)</f>
        <v>0</v>
      </c>
      <c r="M16" s="49">
        <f t="shared" si="0"/>
        <v>16</v>
      </c>
    </row>
    <row r="17" spans="1:13" ht="19.2" thickBot="1">
      <c r="A17" s="63"/>
      <c r="B17" s="53" t="str">
        <v>United States</v>
      </c>
      <c r="C17" s="52">
        <f>COUNTIFS('My trades'!$C$2:$C$201,'Number of trades exchanged'!B17,'My trades'!$E$2:$E$201,'Number of trades exchanged'!$C$2)</f>
        <v>2</v>
      </c>
      <c r="D17" s="52">
        <f>COUNTIFS('My trades'!$C$2:$C$201,'Number of trades exchanged'!B17,'My trades'!$E$2:$E$201,'Number of trades exchanged'!$D$2)</f>
        <v>1</v>
      </c>
      <c r="E17" s="52">
        <f>COUNTIFS('My trades'!$C$2:$C$201,'Number of trades exchanged'!B17,'My trades'!$E$2:$E$201,'Number of trades exchanged'!$E$2)</f>
        <v>3</v>
      </c>
      <c r="F17" s="52">
        <f>COUNTIFS('My trades'!$C$2:$C$201,'Number of trades exchanged'!B17,'My trades'!$E$2:$E$201,'Number of trades exchanged'!$F$2)</f>
        <v>2</v>
      </c>
      <c r="G17" s="52">
        <f>COUNTIFS('My trades'!$C$2:$C$201,'Number of trades exchanged'!B17,'My trades'!$E$2:$E$201,'Number of trades exchanged'!$G$2)</f>
        <v>0</v>
      </c>
      <c r="H17" s="52">
        <f>COUNTIFS('My trades'!$C$2:$C$201,'Number of trades exchanged'!B17,'My trades'!$E$2:$E$201,'Number of trades exchanged'!$H$2)</f>
        <v>1</v>
      </c>
      <c r="I17" s="52">
        <f>COUNTIFS('My trades'!$C$2:$C$201,'Number of trades exchanged'!B17,'My trades'!$E$2:$E$201,'Number of trades exchanged'!$I$2)</f>
        <v>1</v>
      </c>
      <c r="J17" s="52">
        <f>COUNTIFS('My trades'!$C$2:$C$201,'Number of trades exchanged'!B17,'My trades'!$E$2:$E$201,'Number of trades exchanged'!$J$2)</f>
        <v>3</v>
      </c>
      <c r="K17" s="52">
        <f>COUNTIFS('My trades'!$C$2:$C$201,'Number of trades exchanged'!B17,'My trades'!$E$2:$E$201,'Number of trades exchanged'!$K$2)</f>
        <v>0</v>
      </c>
      <c r="L17" s="52">
        <f>COUNTIFS('My trades'!$C$2:$C$201,'Number of trades exchanged'!B17,'My trades'!$E$2:$E$201,'Number of trades exchanged'!$L$2)</f>
        <v>3</v>
      </c>
      <c r="M17" s="49">
        <f t="shared" si="0"/>
        <v>16</v>
      </c>
    </row>
    <row r="18" spans="1:13" ht="19.2" thickBot="1">
      <c r="A18" s="63"/>
      <c r="B18" s="53" t="str">
        <v>Taiwan</v>
      </c>
      <c r="C18" s="52">
        <f>COUNTIFS('My trades'!$C$2:$C$201,'Number of trades exchanged'!B18,'My trades'!$E$2:$E$201,'Number of trades exchanged'!$C$2)</f>
        <v>0</v>
      </c>
      <c r="D18" s="52">
        <f>COUNTIFS('My trades'!$C$2:$C$201,'Number of trades exchanged'!B18,'My trades'!$E$2:$E$201,'Number of trades exchanged'!$D$2)</f>
        <v>0</v>
      </c>
      <c r="E18" s="52">
        <f>COUNTIFS('My trades'!$C$2:$C$201,'Number of trades exchanged'!B18,'My trades'!$E$2:$E$201,'Number of trades exchanged'!$E$2)</f>
        <v>1</v>
      </c>
      <c r="F18" s="52">
        <f>COUNTIFS('My trades'!$C$2:$C$201,'Number of trades exchanged'!B18,'My trades'!$E$2:$E$201,'Number of trades exchanged'!$F$2)</f>
        <v>1</v>
      </c>
      <c r="G18" s="52">
        <f>COUNTIFS('My trades'!$C$2:$C$201,'Number of trades exchanged'!B18,'My trades'!$E$2:$E$201,'Number of trades exchanged'!$G$2)</f>
        <v>1</v>
      </c>
      <c r="H18" s="52">
        <f>COUNTIFS('My trades'!$C$2:$C$201,'Number of trades exchanged'!B18,'My trades'!$E$2:$E$201,'Number of trades exchanged'!$H$2)</f>
        <v>0</v>
      </c>
      <c r="I18" s="52">
        <f>COUNTIFS('My trades'!$C$2:$C$201,'Number of trades exchanged'!B18,'My trades'!$E$2:$E$201,'Number of trades exchanged'!$I$2)</f>
        <v>1</v>
      </c>
      <c r="J18" s="52">
        <f>COUNTIFS('My trades'!$C$2:$C$201,'Number of trades exchanged'!B18,'My trades'!$E$2:$E$201,'Number of trades exchanged'!$J$2)</f>
        <v>0</v>
      </c>
      <c r="K18" s="52">
        <f>COUNTIFS('My trades'!$C$2:$C$201,'Number of trades exchanged'!B18,'My trades'!$E$2:$E$201,'Number of trades exchanged'!$K$2)</f>
        <v>2</v>
      </c>
      <c r="L18" s="52">
        <f>COUNTIFS('My trades'!$C$2:$C$201,'Number of trades exchanged'!B18,'My trades'!$E$2:$E$201,'Number of trades exchanged'!$L$2)</f>
        <v>2</v>
      </c>
      <c r="M18" s="49">
        <f t="shared" si="0"/>
        <v>8</v>
      </c>
    </row>
    <row r="19" spans="1:13" ht="19.2" thickBot="1">
      <c r="A19" s="64"/>
      <c r="B19" s="53" t="str">
        <v>Australia</v>
      </c>
      <c r="C19" s="54">
        <f>COUNTIFS('My trades'!$C$2:$C$201,'Number of trades exchanged'!B19,'My trades'!$E$2:$E$201,'Number of trades exchanged'!$C$2)</f>
        <v>3</v>
      </c>
      <c r="D19" s="54">
        <f>COUNTIFS('My trades'!$C$2:$C$201,'Number of trades exchanged'!B19,'My trades'!$E$2:$E$201,'Number of trades exchanged'!$D$2)</f>
        <v>2</v>
      </c>
      <c r="E19" s="54">
        <f>COUNTIFS('My trades'!$C$2:$C$201,'Number of trades exchanged'!B19,'My trades'!$E$2:$E$201,'Number of trades exchanged'!$E$2)</f>
        <v>1</v>
      </c>
      <c r="F19" s="54">
        <f>COUNTIFS('My trades'!$C$2:$C$201,'Number of trades exchanged'!B19,'My trades'!$E$2:$E$201,'Number of trades exchanged'!$F$2)</f>
        <v>0</v>
      </c>
      <c r="G19" s="54">
        <f>COUNTIFS('My trades'!$C$2:$C$201,'Number of trades exchanged'!B19,'My trades'!$E$2:$E$201,'Number of trades exchanged'!$G$2)</f>
        <v>3</v>
      </c>
      <c r="H19" s="54">
        <f>COUNTIFS('My trades'!$C$2:$C$201,'Number of trades exchanged'!B19,'My trades'!$E$2:$E$201,'Number of trades exchanged'!$H$2)</f>
        <v>1</v>
      </c>
      <c r="I19" s="54">
        <f>COUNTIFS('My trades'!$C$2:$C$201,'Number of trades exchanged'!B19,'My trades'!$E$2:$E$201,'Number of trades exchanged'!$I$2)</f>
        <v>3</v>
      </c>
      <c r="J19" s="54">
        <f>COUNTIFS('My trades'!$C$2:$C$201,'Number of trades exchanged'!B19,'My trades'!$E$2:$E$201,'Number of trades exchanged'!$J$2)</f>
        <v>1</v>
      </c>
      <c r="K19" s="54">
        <f>COUNTIFS('My trades'!$C$2:$C$201,'Number of trades exchanged'!B19,'My trades'!$E$2:$E$201,'Number of trades exchanged'!$K$2)</f>
        <v>0</v>
      </c>
      <c r="L19" s="54">
        <f>COUNTIFS('My trades'!$C$2:$C$201,'Number of trades exchanged'!B19,'My trades'!$E$2:$E$201,'Number of trades exchanged'!$L$2)</f>
        <v>2</v>
      </c>
      <c r="M19" s="49">
        <f t="shared" si="0"/>
        <v>16</v>
      </c>
    </row>
    <row r="20" spans="1:13">
      <c r="C20" s="49">
        <f>SUM(C3:C19)</f>
        <v>26</v>
      </c>
      <c r="D20" s="49">
        <f t="shared" ref="D20:L20" si="1">SUM(D3:D19)</f>
        <v>22</v>
      </c>
      <c r="E20" s="49">
        <f t="shared" si="1"/>
        <v>21</v>
      </c>
      <c r="F20" s="49">
        <f t="shared" si="1"/>
        <v>18</v>
      </c>
      <c r="G20" s="49">
        <f t="shared" si="1"/>
        <v>21</v>
      </c>
      <c r="H20" s="49">
        <f t="shared" si="1"/>
        <v>27</v>
      </c>
      <c r="I20" s="49">
        <f t="shared" si="1"/>
        <v>20</v>
      </c>
      <c r="J20" s="49">
        <f t="shared" si="1"/>
        <v>14</v>
      </c>
      <c r="K20" s="49">
        <f t="shared" si="1"/>
        <v>15</v>
      </c>
      <c r="L20" s="49">
        <f t="shared" si="1"/>
        <v>16</v>
      </c>
      <c r="M20" s="55">
        <f>SUM(M3:M19)</f>
        <v>200</v>
      </c>
    </row>
  </sheetData>
  <mergeCells count="5">
    <mergeCell ref="A1:B2"/>
    <mergeCell ref="C1:L1"/>
    <mergeCell ref="A3:A19"/>
    <mergeCell ref="O9:Q9"/>
    <mergeCell ref="O11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Database iniziale</vt:lpstr>
      <vt:lpstr>My trades</vt:lpstr>
      <vt:lpstr>Stock exchanges</vt:lpstr>
      <vt:lpstr>Profit insights</vt:lpstr>
      <vt:lpstr>Number of trades exchanged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Arianna Callegari</cp:lastModifiedBy>
  <cp:revision/>
  <dcterms:created xsi:type="dcterms:W3CDTF">2023-05-26T15:43:04Z</dcterms:created>
  <dcterms:modified xsi:type="dcterms:W3CDTF">2023-12-24T17:44:34Z</dcterms:modified>
  <cp:category/>
  <cp:contentStatus/>
</cp:coreProperties>
</file>